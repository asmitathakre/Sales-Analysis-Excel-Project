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Lenovo\Desktop\"/>
    </mc:Choice>
  </mc:AlternateContent>
  <xr:revisionPtr revIDLastSave="0" documentId="13_ncr:1_{2E6E418D-D811-4BA3-8C9B-8E9574732EAB}" xr6:coauthVersionLast="47" xr6:coauthVersionMax="47" xr10:uidLastSave="{00000000-0000-0000-0000-000000000000}"/>
  <bookViews>
    <workbookView xWindow="-108" yWindow="-108" windowWidth="23256" windowHeight="13896" firstSheet="1" activeTab="4" xr2:uid="{A2F7D34A-1728-4586-8792-4AE15C8C6311}"/>
  </bookViews>
  <sheets>
    <sheet name="FNP"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FNP!$A$1:$F$4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d5a26b76-7f64-45e1-9369-e069e4f8e1fd" name="FNP" connection="Query - FNP"/>
          <x15:modelTable id="customers_9b175b16-a404-4886-9b8c-d5616d7724d9" name="customers" connection="Query - customers"/>
          <x15:modelTable id="orders_dc786bb0-be70-4df3-888f-a26789f14883" name="orders" connection="Query - orders"/>
          <x15:modelTable id="products_5b606a05-eb12-4917-9143-84167e4c08c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8637BC-FA5C-40D3-B32F-CBFB02B99937}" keepAlive="1" name="ModelConnection_ExternalData_1" description="Data Model" type="5" refreshedVersion="8" minRefreshableVersion="5" saveData="1">
    <dbPr connection="Data Model Connection" command="FNP" commandType="3"/>
    <extLst>
      <ext xmlns:x15="http://schemas.microsoft.com/office/spreadsheetml/2010/11/main" uri="{DE250136-89BD-433C-8126-D09CA5730AF9}">
        <x15:connection id="" model="1"/>
      </ext>
    </extLst>
  </connection>
  <connection id="2" xr16:uid="{55AF4D1A-3E37-432B-87CA-426A9620A88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B6A2BFEB-2164-4377-BBC4-29DB3A3F78F6}"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0AAAB488-5BF6-4506-9925-AF2E2F59899F}"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75066BD-EC84-4D9A-94B7-6BCDB9B1833B}" name="Query - customers" description="Connection to the 'customers' query in the workbook." type="100" refreshedVersion="8" minRefreshableVersion="5">
    <extLst>
      <ext xmlns:x15="http://schemas.microsoft.com/office/spreadsheetml/2010/11/main" uri="{DE250136-89BD-433C-8126-D09CA5730AF9}">
        <x15:connection id="6181cf2a-d0e7-45db-9f64-9810cd40ed96"/>
      </ext>
    </extLst>
  </connection>
  <connection id="6" xr16:uid="{043AB71B-1776-4258-B4A0-69DEC369838F}" name="Query - FNP" description="Connection to the 'FNP' query in the workbook." type="100" refreshedVersion="8" minRefreshableVersion="5">
    <extLst>
      <ext xmlns:x15="http://schemas.microsoft.com/office/spreadsheetml/2010/11/main" uri="{DE250136-89BD-433C-8126-D09CA5730AF9}">
        <x15:connection id="5b5480b1-0644-4862-b52c-8e354f207a22"/>
      </ext>
    </extLst>
  </connection>
  <connection id="7" xr16:uid="{66E7493E-1293-460D-905C-C972686667E2}" name="Query - orders" description="Connection to the 'orders' query in the workbook." type="100" refreshedVersion="8" minRefreshableVersion="5">
    <extLst>
      <ext xmlns:x15="http://schemas.microsoft.com/office/spreadsheetml/2010/11/main" uri="{DE250136-89BD-433C-8126-D09CA5730AF9}">
        <x15:connection id="45c75fec-866b-4ad6-be58-a1185aece505"/>
      </ext>
    </extLst>
  </connection>
  <connection id="8" xr16:uid="{12D5B897-648E-4C94-ADED-2FFE864C7DC3}" name="Query - products" description="Connection to the 'products' query in the workbook." type="100" refreshedVersion="8" minRefreshableVersion="5">
    <extLst>
      <ext xmlns:x15="http://schemas.microsoft.com/office/spreadsheetml/2010/11/main" uri="{DE250136-89BD-433C-8126-D09CA5730AF9}">
        <x15:connection id="c0cbee2a-84a8-4557-88e4-0693438df382"/>
      </ext>
    </extLst>
  </connection>
  <connection id="9" xr16:uid="{7F593276-243D-46FB-ACF2-1504B9BA7A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<sst xmlns="http://schemas.openxmlformats.org/spreadsheetml/2006/main" count="6099" uniqueCount="1020">
  <si>
    <t>Name</t>
  </si>
  <si>
    <t>Extension</t>
  </si>
  <si>
    <t>Date accessed</t>
  </si>
  <si>
    <t>Date modified</t>
  </si>
  <si>
    <t>Date created</t>
  </si>
  <si>
    <t>Folder Path</t>
  </si>
  <si>
    <t>customers.csv</t>
  </si>
  <si>
    <t>.csv</t>
  </si>
  <si>
    <t>C:\Users\Lenovo\Downloads\FNP\</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</si>
  <si>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</si>
  <si>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</si>
  <si>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</si>
  <si>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</si>
  <si>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</si>
  <si>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</si>
  <si>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</si>
  <si>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</si>
  <si>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</si>
  <si>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</si>
  <si>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</si>
  <si>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</si>
  <si>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</si>
  <si>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</si>
  <si>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</si>
  <si>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</si>
  <si>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</si>
  <si>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</si>
  <si>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</si>
  <si>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</si>
  <si>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</si>
  <si>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</si>
  <si>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</si>
  <si>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</si>
  <si>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</si>
  <si>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</si>
  <si>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</si>
  <si>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</si>
  <si>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</si>
  <si>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</si>
  <si>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</si>
  <si>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</si>
  <si>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</si>
  <si>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</si>
  <si>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</si>
  <si>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</si>
  <si>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</si>
  <si>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</si>
  <si>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</si>
  <si>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</si>
  <si>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</si>
  <si>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</si>
  <si>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</si>
  <si>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</si>
  <si>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</si>
  <si>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</si>
  <si>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</si>
  <si>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</si>
  <si>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</si>
  <si>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</si>
  <si>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</si>
  <si>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</si>
  <si>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</si>
  <si>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</si>
  <si>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</si>
  <si>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</si>
  <si>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</si>
  <si>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</si>
  <si>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</si>
  <si>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</si>
  <si>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</si>
  <si>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</si>
  <si>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</si>
  <si>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</si>
  <si>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</si>
  <si>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</si>
  <si>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</si>
  <si>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</si>
  <si>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</si>
  <si>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</si>
  <si>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</si>
  <si>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</si>
  <si>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</si>
  <si>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</si>
  <si>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</si>
  <si>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</si>
  <si>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</si>
  <si>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</si>
  <si>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</si>
  <si>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</si>
  <si>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</si>
  <si>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</si>
  <si>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</si>
  <si>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</si>
  <si>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</si>
  <si>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</si>
  <si>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</si>
  <si>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</si>
  <si>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</si>
  <si>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</si>
  <si>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</si>
  <si>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</si>
  <si>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</si>
  <si>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</si>
  <si>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</si>
  <si>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</si>
  <si>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</si>
  <si>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</si>
  <si>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</si>
  <si>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</si>
  <si>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</si>
  <si>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</si>
  <si>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</si>
  <si>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</si>
  <si>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</si>
  <si>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</si>
  <si>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</si>
  <si>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</si>
  <si>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</si>
  <si>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</si>
  <si>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</si>
  <si>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</si>
  <si>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</si>
  <si>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</si>
  <si>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</si>
  <si>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</si>
  <si>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</si>
  <si>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</si>
  <si>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</si>
  <si>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</si>
  <si>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</si>
  <si>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</si>
  <si>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</si>
  <si>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</si>
  <si>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</si>
  <si>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</si>
  <si>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</si>
  <si>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</si>
  <si>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</si>
  <si>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</si>
  <si>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</si>
  <si>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</si>
  <si>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</si>
  <si>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</si>
  <si>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</si>
  <si>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</si>
  <si>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</si>
  <si>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</si>
  <si>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</si>
  <si>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</si>
  <si>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</si>
  <si>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</si>
  <si>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</si>
  <si>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</si>
  <si>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</si>
  <si>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</si>
  <si>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</si>
  <si>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</si>
  <si>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</si>
  <si>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</si>
  <si>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</si>
  <si>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</si>
  <si>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</si>
  <si>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</si>
  <si>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</si>
  <si>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</si>
  <si>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</si>
  <si>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</si>
  <si>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</si>
  <si>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</si>
  <si>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</si>
  <si>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</si>
  <si>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</si>
  <si>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</si>
  <si>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</si>
  <si>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</si>
  <si>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</si>
  <si>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</si>
  <si>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</si>
  <si>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</si>
  <si>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</si>
  <si>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</si>
  <si>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</si>
  <si>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</si>
  <si>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</si>
  <si>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</si>
  <si>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</si>
  <si>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</si>
  <si>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</si>
  <si>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</si>
  <si>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</si>
  <si>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</si>
  <si>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</si>
  <si>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</si>
  <si>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</si>
  <si>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</si>
  <si>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</si>
  <si>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</si>
  <si>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</si>
  <si>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</si>
  <si>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</si>
  <si>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</si>
  <si>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</si>
  <si>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</si>
  <si>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</si>
  <si>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</si>
  <si>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</si>
  <si>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</si>
  <si>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</si>
  <si>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</si>
  <si>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</si>
  <si>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</si>
  <si>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</si>
  <si>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</si>
  <si>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</si>
  <si>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</si>
  <si>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</si>
  <si>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</si>
  <si>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</si>
  <si>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</si>
  <si>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</si>
  <si>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</si>
  <si>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</si>
  <si>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</si>
  <si>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</si>
  <si>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</si>
  <si>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</si>
  <si>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</si>
  <si>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</si>
  <si>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</si>
  <si>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</si>
  <si>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</si>
  <si>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</si>
  <si>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</si>
  <si>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</si>
  <si>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</si>
  <si>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</si>
  <si>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</si>
  <si>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</si>
  <si>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</si>
  <si>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</si>
  <si>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</si>
  <si>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</si>
  <si>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</si>
  <si>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</si>
  <si>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</si>
  <si>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</si>
  <si>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</si>
  <si>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</si>
  <si>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</si>
  <si>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</si>
  <si>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</si>
  <si>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</si>
  <si>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</si>
  <si>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</si>
  <si>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</si>
  <si>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</si>
  <si>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</si>
  <si>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</si>
  <si>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</si>
  <si>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</si>
  <si>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</si>
  <si>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</si>
  <si>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</si>
  <si>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</si>
  <si>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</si>
  <si>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</si>
  <si>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</si>
  <si>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</si>
  <si>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</si>
  <si>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</si>
  <si>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</si>
  <si>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</si>
  <si>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</si>
  <si>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</si>
  <si>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</si>
  <si>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</si>
  <si>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</si>
  <si>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</si>
  <si>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</si>
  <si>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</si>
  <si>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</si>
  <si>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</si>
  <si>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</si>
  <si>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</si>
  <si>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</si>
  <si>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</si>
  <si>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</si>
  <si>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</si>
  <si>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</si>
  <si>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</si>
  <si>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</si>
  <si>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</si>
  <si>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</si>
  <si>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</si>
  <si>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</si>
  <si>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</si>
  <si>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</si>
  <si>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</si>
  <si>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</si>
  <si>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</si>
  <si>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</si>
  <si>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</si>
  <si>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</si>
  <si>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</si>
  <si>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</si>
  <si>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</si>
  <si>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</si>
  <si>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</si>
  <si>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</si>
  <si>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</si>
  <si>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</si>
  <si>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</si>
  <si>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</si>
  <si>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</si>
  <si>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</si>
  <si>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</si>
  <si>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</si>
  <si>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</si>
  <si>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</si>
  <si>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</si>
  <si>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</si>
  <si>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</si>
  <si>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</si>
  <si>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</si>
  <si>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</si>
  <si>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</si>
  <si>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</si>
  <si>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</si>
  <si>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</si>
  <si>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</si>
  <si>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</si>
  <si>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</si>
  <si>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</si>
  <si>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</si>
  <si>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</si>
  <si>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</si>
  <si>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</si>
  <si>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</si>
  <si>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</si>
  <si>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</si>
  <si>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</si>
  <si>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</si>
  <si>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</si>
  <si>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</si>
  <si>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</si>
  <si>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</si>
  <si>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</si>
  <si>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</si>
  <si>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</si>
  <si>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</si>
  <si>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</si>
  <si>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</si>
  <si>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</si>
  <si>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</si>
  <si>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</si>
  <si>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</si>
  <si>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</si>
  <si>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</si>
  <si>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</si>
  <si>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</si>
  <si>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</si>
  <si>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</si>
  <si>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</si>
  <si>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</si>
  <si>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</si>
  <si>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</si>
  <si>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</si>
  <si>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</si>
  <si>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</si>
  <si>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</si>
  <si>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</si>
  <si>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</si>
  <si>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</si>
  <si>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</si>
  <si>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</si>
  <si>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</si>
  <si>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</si>
  <si>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</si>
  <si>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</si>
  <si>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</si>
  <si>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</si>
  <si>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</si>
  <si>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</si>
  <si>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</si>
  <si>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</si>
  <si>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</si>
  <si>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</si>
  <si>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</si>
  <si>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</si>
  <si>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</si>
  <si>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</si>
  <si>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</si>
  <si>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</si>
  <si>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</si>
  <si>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</si>
  <si>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</si>
  <si>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</si>
  <si>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</si>
  <si>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</si>
  <si>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</si>
  <si>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</si>
  <si>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</si>
  <si>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</si>
  <si>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</si>
  <si>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</si>
  <si>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</si>
  <si>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</si>
  <si>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</si>
  <si>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</si>
  <si>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</si>
  <si>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</si>
  <si>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</si>
  <si>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</si>
  <si>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</si>
  <si>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</si>
  <si>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</si>
  <si>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</si>
  <si>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</si>
  <si>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</si>
  <si>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</si>
  <si>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</si>
  <si>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</si>
  <si>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</si>
  <si>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</si>
  <si>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</si>
  <si>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</si>
  <si>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</si>
  <si>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</si>
  <si>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</si>
  <si>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</si>
  <si>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</si>
  <si>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</si>
  <si>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</si>
  <si>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</si>
  <si>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</si>
  <si>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</si>
  <si>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</si>
  <si>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</si>
  <si>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</si>
  <si>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</si>
  <si>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</si>
  <si>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</si>
  <si>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</si>
  <si>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</si>
  <si>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</si>
  <si>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</si>
  <si>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</si>
  <si>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</si>
  <si>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</si>
  <si>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</si>
  <si>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</si>
  <si>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</si>
  <si>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</si>
  <si>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</si>
  <si>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</si>
  <si>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</si>
  <si>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</si>
  <si>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</si>
  <si>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</si>
  <si>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</si>
  <si>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</si>
  <si>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</si>
  <si>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</si>
  <si>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</si>
  <si>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</si>
  <si>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</si>
  <si>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</si>
  <si>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</si>
  <si>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</si>
  <si>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</si>
  <si>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</si>
  <si>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</si>
  <si>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</si>
  <si>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</si>
  <si>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</si>
  <si>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</si>
  <si>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</si>
  <si>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</si>
  <si>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</si>
  <si>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</si>
  <si>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</si>
  <si>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</si>
  <si>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</si>
  <si>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</si>
  <si>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</si>
  <si>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</si>
  <si>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</si>
  <si>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</si>
  <si>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</si>
  <si>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</si>
  <si>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</si>
  <si>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</si>
  <si>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</si>
  <si>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</si>
  <si>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</si>
  <si>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</si>
  <si>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</si>
  <si>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</si>
  <si>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</si>
  <si>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</si>
  <si>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</si>
  <si>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</si>
  <si>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</si>
  <si>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</si>
  <si>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</si>
  <si>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</si>
  <si>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</si>
  <si>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</si>
  <si>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</si>
  <si>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</si>
  <si>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</si>
  <si>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</si>
  <si>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</si>
  <si>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</si>
  <si>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</si>
  <si>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</si>
  <si>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</si>
  <si>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</si>
  <si>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</si>
  <si>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</si>
  <si>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</si>
  <si>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</si>
  <si>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</si>
  <si>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</si>
  <si>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</si>
  <si>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</si>
  <si>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</si>
  <si>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</si>
  <si>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</si>
  <si>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</si>
  <si>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</si>
  <si>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</si>
  <si>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</si>
  <si>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</si>
  <si>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</si>
  <si>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</si>
  <si>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</si>
  <si>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</si>
  <si>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</si>
  <si>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</si>
  <si>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</si>
  <si>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</si>
  <si>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</si>
  <si>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</si>
  <si>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</si>
  <si>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</si>
  <si>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</si>
  <si>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</si>
  <si>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</si>
  <si>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</si>
  <si>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</si>
  <si>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</si>
  <si>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</si>
  <si>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</si>
  <si>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</si>
  <si>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</si>
  <si>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</si>
  <si>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</si>
  <si>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</si>
  <si>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</si>
  <si>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</si>
  <si>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</si>
  <si>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</si>
  <si>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</si>
  <si>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</si>
  <si>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</si>
  <si>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</si>
  <si>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</si>
  <si>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</si>
  <si>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</si>
  <si>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</si>
  <si>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</si>
  <si>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</si>
  <si>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</si>
  <si>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</si>
  <si>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</si>
  <si>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</si>
  <si>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</si>
  <si>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</si>
  <si>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</si>
  <si>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</si>
  <si>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</si>
  <si>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</si>
  <si>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</si>
  <si>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</si>
  <si>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</si>
  <si>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</si>
  <si>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</si>
  <si>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</si>
  <si>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</si>
  <si>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</si>
  <si>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</si>
  <si>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</si>
  <si>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</si>
  <si>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</si>
  <si>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</si>
  <si>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</si>
  <si>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</si>
  <si>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</si>
  <si>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</si>
  <si>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</si>
  <si>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</si>
  <si>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</si>
  <si>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</si>
  <si>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</si>
  <si>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</si>
  <si>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</si>
  <si>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</si>
  <si>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</si>
  <si>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</si>
  <si>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</si>
  <si>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</si>
  <si>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</si>
  <si>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</si>
  <si>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</si>
  <si>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</si>
  <si>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Diff_order_delivery</t>
  </si>
  <si>
    <t>Hour(delivery_time)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</si>
  <si>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</si>
  <si>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</si>
  <si>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</si>
  <si>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</si>
  <si>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</si>
  <si>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</si>
  <si>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</si>
  <si>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</si>
  <si>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</si>
  <si>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</si>
  <si>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</si>
  <si>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</si>
  <si>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</si>
  <si>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</si>
  <si>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</si>
  <si>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</si>
  <si>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</si>
  <si>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</si>
  <si>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</si>
  <si>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</si>
  <si>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</si>
  <si>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</si>
  <si>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</si>
  <si>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</si>
  <si>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</si>
  <si>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</si>
  <si>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</si>
  <si>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</si>
  <si>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</si>
  <si>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</si>
  <si>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</si>
  <si>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</si>
  <si>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</si>
  <si>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</si>
  <si>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</si>
  <si>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</si>
  <si>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</si>
  <si>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</si>
  <si>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</si>
  <si>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</si>
  <si>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</si>
  <si>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</si>
  <si>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</si>
  <si>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</si>
  <si>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</si>
  <si>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</si>
  <si>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</si>
  <si>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</si>
  <si>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</si>
  <si>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</si>
  <si>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</si>
  <si>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</si>
  <si>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</si>
  <si>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</si>
  <si>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</si>
  <si>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</si>
  <si>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</si>
  <si>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</si>
  <si>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</si>
  <si>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</si>
  <si>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</si>
  <si>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</si>
  <si>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</si>
  <si>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</si>
  <si>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</si>
  <si>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</si>
  <si>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</si>
  <si>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</si>
  <si>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</si>
  <si>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</si>
  <si>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</si>
  <si>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</si>
  <si>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</si>
  <si>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</si>
  <si>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</si>
  <si>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</si>
  <si>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</si>
  <si>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</si>
  <si>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</si>
  <si>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</si>
  <si>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</si>
  <si>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</si>
  <si>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</si>
  <si>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</si>
  <si>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</si>
  <si>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</si>
  <si>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</si>
  <si>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</si>
  <si>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</si>
  <si>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</si>
  <si>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</si>
  <si>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</si>
  <si>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</si>
  <si>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</si>
  <si>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</si>
  <si>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</si>
  <si>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</si>
  <si>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</si>
  <si>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</si>
  <si>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</si>
  <si>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</si>
  <si>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</si>
  <si>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</si>
  <si>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</si>
  <si>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</si>
  <si>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</si>
  <si>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</si>
  <si>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</si>
  <si>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</si>
  <si>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</si>
  <si>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</si>
  <si>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</si>
  <si>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</si>
  <si>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</si>
  <si>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</si>
  <si>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</si>
  <si>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</si>
  <si>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</si>
  <si>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</si>
  <si>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</si>
  <si>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</si>
  <si>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</si>
  <si>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</si>
  <si>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</si>
  <si>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</si>
  <si>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</si>
  <si>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</si>
  <si>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</si>
  <si>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</si>
  <si>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</si>
  <si>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</si>
  <si>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</si>
  <si>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</si>
  <si>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</si>
  <si>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</si>
  <si>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</si>
  <si>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</si>
  <si>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</si>
  <si>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</si>
  <si>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</si>
  <si>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</si>
  <si>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</si>
  <si>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</si>
  <si>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</si>
  <si>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</si>
  <si>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</si>
  <si>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</si>
  <si>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</si>
  <si>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</si>
  <si>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</si>
  <si>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</si>
  <si>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</si>
  <si>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</si>
  <si>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</si>
  <si>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</si>
  <si>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</si>
  <si>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</si>
  <si>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</si>
  <si>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</si>
  <si>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</si>
  <si>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</si>
  <si>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</si>
  <si>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</si>
  <si>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</si>
  <si>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</si>
  <si>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</si>
  <si>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</si>
  <si>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</si>
  <si>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</si>
  <si>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</si>
  <si>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</si>
  <si>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</si>
  <si>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</si>
  <si>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</si>
  <si>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</si>
  <si>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</si>
  <si>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</si>
  <si>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</si>
  <si>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</si>
  <si>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</si>
  <si>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</si>
  <si>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</si>
  <si>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</si>
  <si>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</si>
  <si>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</si>
  <si>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</si>
  <si>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</si>
  <si>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</si>
  <si>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</si>
  <si>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</si>
  <si>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</si>
  <si>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</si>
  <si>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</si>
  <si>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</si>
  <si>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</si>
  <si>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</si>
  <si>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</si>
  <si>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</si>
  <si>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</si>
  <si>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</si>
  <si>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</si>
  <si>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</si>
  <si>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</si>
  <si>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</si>
  <si>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</si>
  <si>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</si>
  <si>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</si>
  <si>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</si>
  <si>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</si>
  <si>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</si>
  <si>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</si>
  <si>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</si>
  <si>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</si>
  <si>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</si>
  <si>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</si>
  <si>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</si>
  <si>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</si>
  <si>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</si>
  <si>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</si>
  <si>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</si>
  <si>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</si>
  <si>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</si>
  <si>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</si>
  <si>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</si>
  <si>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</si>
  <si>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</si>
  <si>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</si>
  <si>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</si>
  <si>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</si>
  <si>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</si>
  <si>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</si>
  <si>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</si>
  <si>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</si>
  <si>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</si>
  <si>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</si>
  <si>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</si>
  <si>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</si>
  <si>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</si>
  <si>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</si>
  <si>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</si>
  <si>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</si>
  <si>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</si>
  <si>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</si>
  <si>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</si>
  <si>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</si>
  <si>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</si>
  <si>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</si>
  <si>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</si>
  <si>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</si>
  <si>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</si>
  <si>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</si>
  <si>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</si>
  <si>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</si>
  <si>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</si>
  <si>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</si>
  <si>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</si>
  <si>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</si>
  <si>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</si>
  <si>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</si>
  <si>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</si>
  <si>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</si>
  <si>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</si>
  <si>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</si>
  <si>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</si>
  <si>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</si>
  <si>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</si>
  <si>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</si>
  <si>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</si>
  <si>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</si>
  <si>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</si>
  <si>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</si>
  <si>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</si>
  <si>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</si>
  <si>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</si>
  <si>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</si>
  <si>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</si>
  <si>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</si>
  <si>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</si>
  <si>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</si>
  <si>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</si>
  <si>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</si>
  <si>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</si>
  <si>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</si>
  <si>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</si>
  <si>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</si>
  <si>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</si>
  <si>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</si>
  <si>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</si>
  <si>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</si>
  <si>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</si>
  <si>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</si>
  <si>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</si>
  <si>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</si>
  <si>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</si>
  <si>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</si>
  <si>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</si>
  <si>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</si>
  <si>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</si>
  <si>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</si>
  <si>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</si>
  <si>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</si>
  <si>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</si>
  <si>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</si>
  <si>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</si>
  <si>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</si>
  <si>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</si>
  <si>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</si>
  <si>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</si>
  <si>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</si>
  <si>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</si>
  <si>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</si>
  <si>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</si>
  <si>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</si>
  <si>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</si>
  <si>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</si>
  <si>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</si>
  <si>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</si>
  <si>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</si>
  <si>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</si>
  <si>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</si>
  <si>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</si>
  <si>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</si>
  <si>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</si>
  <si>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</si>
  <si>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</si>
  <si>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</si>
  <si>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</si>
  <si>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</si>
  <si>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</si>
  <si>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</si>
  <si>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</si>
  <si>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</si>
  <si>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</si>
  <si>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</si>
  <si>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</si>
  <si>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</si>
  <si>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</si>
  <si>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</si>
  <si>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</si>
  <si>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</si>
  <si>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</si>
  <si>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</si>
  <si>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</si>
  <si>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</si>
  <si>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</si>
  <si>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</si>
  <si>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</si>
  <si>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</si>
  <si>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</si>
  <si>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</si>
  <si>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</si>
  <si>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</si>
  <si>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</si>
  <si>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</si>
  <si>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</si>
  <si>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</si>
  <si>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</si>
  <si>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</si>
  <si>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</si>
  <si>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</si>
  <si>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</si>
  <si>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</si>
  <si>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</si>
  <si>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</si>
  <si>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</si>
  <si>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</si>
  <si>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</si>
  <si>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</si>
  <si>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</si>
  <si>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</si>
  <si>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</si>
  <si>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</si>
  <si>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</si>
  <si>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</si>
  <si>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</si>
  <si>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</si>
  <si>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</si>
  <si>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</si>
  <si>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</si>
  <si>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</si>
  <si>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</si>
  <si>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</si>
  <si>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</si>
  <si>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</si>
  <si>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</si>
  <si>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</si>
  <si>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</si>
  <si>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</si>
  <si>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</si>
  <si>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</si>
  <si>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</si>
  <si>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</si>
  <si>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</si>
  <si>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</si>
  <si>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</si>
  <si>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 (order date)</t>
  </si>
  <si>
    <t>Sum of Revenue</t>
  </si>
  <si>
    <t>Average of Diff_order_delivery</t>
  </si>
  <si>
    <t>Count of Order_ID</t>
  </si>
  <si>
    <t>Total order placed</t>
  </si>
  <si>
    <t>Average of custmoer spending</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</si>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</sst>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h\.mm"/>
    <numFmt numFmtId="165" formatCode="[$-F400]h\.mm\.ss\ AM/PM"/>
    <numFmt numFmtId="166" formatCode="&quot;₹&quot;\ #,##0.00;#,##0.00\ \-&quot;₹&quot;;&quot;₹&quot;\ #,##0.00"/>
  </numFmts>
  <fonts count="2" x14ac:knownFonts="1">
    <font>
      <sz val="11"/>
      <color theme="1"/>
      <name val="Calibri"/>
      <family val="2"/>
      <scheme val="minor"/>
    </font>
    <font>
      <sz val="11"/>
      <color theme="4"/>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 fillId="2" borderId="0" xfId="0" applyFont="1" applyFill="1"/>
    <xf numFmtId="166"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9" formatCode="dd/mm/yyyy"/>
    </dxf>
    <dxf>
      <numFmt numFmtId="165"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mm"/>
    </dxf>
    <dxf>
      <numFmt numFmtId="164" formatCode="dd/mm/yyyy\ h\.mm"/>
    </dxf>
    <dxf>
      <numFmt numFmtId="164" formatCode="dd/mm/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[Excelog.xlsx]Sheet1!PivotTable2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F307-475A-8972-5C09D0416D06}"/>
            </c:ext>
          </c:extLst>
        </c:ser>
        <c:dLbls>
          <c:showLegendKey val="0"/>
          <c:showVal val="0"/>
          <c:showCatName val="0"/>
          <c:showSerName val="0"/>
          <c:showPercent val="0"/>
          <c:showBubbleSize val="0"/>
        </c:dLbls>
        <c:smooth val="0"/>
        <c:axId val="1957855183"/>
        <c:axId val="1957851343"/>
      </c:lineChart>
      <c:catAx>
        <c:axId val="195785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51343"/>
        <c:crosses val="autoZero"/>
        <c:auto val="1"/>
        <c:lblAlgn val="ctr"/>
        <c:lblOffset val="100"/>
        <c:noMultiLvlLbl val="0"/>
      </c:catAx>
      <c:valAx>
        <c:axId val="19578513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5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[Excelog.xlsx]Sheet1!PivotTable5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chemeClr val="accent1"/>
            </a:solidFill>
            <a:ln>
              <a:noFill/>
            </a:ln>
            <a:effectLst/>
          </c:spPr>
          <c:invertIfNegative val="0"/>
          <c:cat>
            <c:strRef>
              <c:f>Sheet1!$B$19:$B$26</c:f>
              <c:strCache>
                <c:ptCount val="7"/>
                <c:pt idx="0">
                  <c:v>Cake</c:v>
                </c:pt>
                <c:pt idx="1">
                  <c:v>Colors</c:v>
                </c:pt>
                <c:pt idx="2">
                  <c:v>Mugs</c:v>
                </c:pt>
                <c:pt idx="3">
                  <c:v>Plants</c:v>
                </c:pt>
                <c:pt idx="4">
                  <c:v>Raksha Bandhan</c:v>
                </c:pt>
                <c:pt idx="5">
                  <c:v>Soft Toys</c:v>
                </c:pt>
                <c:pt idx="6">
                  <c:v>Sweets</c:v>
                </c:pt>
              </c:strCache>
            </c:strRef>
          </c:cat>
          <c:val>
            <c:numRef>
              <c:f>Sheet1!$C$19:$C$26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1C85-47C0-B3DA-47C03C6F1F4F}"/>
            </c:ext>
          </c:extLst>
        </c:ser>
        <c:dLbls>
          <c:showLegendKey val="0"/>
          <c:showVal val="0"/>
          <c:showCatName val="0"/>
          <c:showSerName val="0"/>
          <c:showPercent val="0"/>
          <c:showBubbleSize val="0"/>
        </c:dLbls>
        <c:gapWidth val="219"/>
        <c:overlap val="-27"/>
        <c:axId val="1957860463"/>
        <c:axId val="1957860943"/>
      </c:barChart>
      <c:catAx>
        <c:axId val="195786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60943"/>
        <c:crosses val="autoZero"/>
        <c:auto val="1"/>
        <c:lblAlgn val="ctr"/>
        <c:lblOffset val="100"/>
        <c:noMultiLvlLbl val="0"/>
      </c:catAx>
      <c:valAx>
        <c:axId val="1957860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6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[Excelog.xlsx]Sheet1!PivotTable8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Sheet1!$I$18</c:f>
              <c:strCache>
                <c:ptCount val="1"/>
                <c:pt idx="0">
                  <c:v>Total</c:v>
                </c:pt>
              </c:strCache>
            </c:strRef>
          </c:tx>
          <c:spPr>
            <a:solidFill>
              <a:schemeClr val="accent1"/>
            </a:solidFill>
            <a:ln>
              <a:noFill/>
            </a:ln>
            <a:effectLst/>
          </c:spPr>
          <c:invertIfNegative val="0"/>
          <c:cat>
            <c:strRef>
              <c:f>Sheet1!$H$19:$H$26</c:f>
              <c:strCache>
                <c:ptCount val="7"/>
                <c:pt idx="0">
                  <c:v>All Occasions</c:v>
                </c:pt>
                <c:pt idx="1">
                  <c:v>Anniversary</c:v>
                </c:pt>
                <c:pt idx="2">
                  <c:v>Birthday</c:v>
                </c:pt>
                <c:pt idx="3">
                  <c:v>Diwali</c:v>
                </c:pt>
                <c:pt idx="4">
                  <c:v>Holi</c:v>
                </c:pt>
                <c:pt idx="5">
                  <c:v>Raksha Bandhan</c:v>
                </c:pt>
                <c:pt idx="6">
                  <c:v>Valentine's Day</c:v>
                </c:pt>
              </c:strCache>
            </c:strRef>
          </c:cat>
          <c:val>
            <c:numRef>
              <c:f>Sheet1!$I$19:$I$26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57DC-4B09-B08D-B50B54B92E84}"/>
            </c:ext>
          </c:extLst>
        </c:ser>
        <c:dLbls>
          <c:showLegendKey val="0"/>
          <c:showVal val="0"/>
          <c:showCatName val="0"/>
          <c:showSerName val="0"/>
          <c:showPercent val="0"/>
          <c:showBubbleSize val="0"/>
        </c:dLbls>
        <c:gapWidth val="219"/>
        <c:overlap val="-27"/>
        <c:axId val="1957830223"/>
        <c:axId val="1957824463"/>
      </c:barChart>
      <c:catAx>
        <c:axId val="195783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24463"/>
        <c:crosses val="autoZero"/>
        <c:auto val="1"/>
        <c:lblAlgn val="ctr"/>
        <c:lblOffset val="100"/>
        <c:noMultiLvlLbl val="0"/>
      </c:catAx>
      <c:valAx>
        <c:axId val="19578244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3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[Excelog.xlsx]Sheet1!PivotTable7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a:t>
            </a:r>
            <a:r>
              <a:rPr lang="en-US" baseline="0"/>
              <a:t> by Orders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Sheet1!$F$18</c:f>
              <c:strCache>
                <c:ptCount val="1"/>
                <c:pt idx="0">
                  <c:v>Total</c:v>
                </c:pt>
              </c:strCache>
            </c:strRef>
          </c:tx>
          <c:spPr>
            <a:solidFill>
              <a:schemeClr val="accent1"/>
            </a:solidFill>
            <a:ln>
              <a:noFill/>
            </a:ln>
            <a:effectLst/>
          </c:spPr>
          <c:invertIfNegative val="0"/>
          <c:cat>
            <c:strRef>
              <c:f>Sheet1!$E$19:$E$29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Sheet1!$F$19:$F$29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F3FF-4F23-A924-538787FD81B1}"/>
            </c:ext>
          </c:extLst>
        </c:ser>
        <c:dLbls>
          <c:showLegendKey val="0"/>
          <c:showVal val="0"/>
          <c:showCatName val="0"/>
          <c:showSerName val="0"/>
          <c:showPercent val="0"/>
          <c:showBubbleSize val="0"/>
        </c:dLbls>
        <c:gapWidth val="219"/>
        <c:overlap val="-27"/>
        <c:axId val="1405803647"/>
        <c:axId val="1405820447"/>
      </c:barChart>
      <c:catAx>
        <c:axId val="140580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820447"/>
        <c:crosses val="autoZero"/>
        <c:auto val="1"/>
        <c:lblAlgn val="ctr"/>
        <c:lblOffset val="100"/>
        <c:noMultiLvlLbl val="0"/>
      </c:catAx>
      <c:valAx>
        <c:axId val="140582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80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[Excelog.xlsx]Sheet1!PivotTable4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Sheet1!$F$7</c:f>
              <c:strCache>
                <c:ptCount val="1"/>
                <c:pt idx="0">
                  <c:v>Total</c:v>
                </c:pt>
              </c:strCache>
            </c:strRef>
          </c:tx>
          <c:spPr>
            <a:solidFill>
              <a:schemeClr val="accent1"/>
            </a:solidFill>
            <a:ln>
              <a:noFill/>
            </a:ln>
            <a:effectLst/>
          </c:spPr>
          <c:invertIfNegative val="0"/>
          <c:cat>
            <c:strRef>
              <c:f>Sheet1!$E$8:$E$13</c:f>
              <c:strCache>
                <c:ptCount val="5"/>
                <c:pt idx="0">
                  <c:v>Deserunt Box</c:v>
                </c:pt>
                <c:pt idx="1">
                  <c:v>Dolores Gift</c:v>
                </c:pt>
                <c:pt idx="2">
                  <c:v>Harum Pack</c:v>
                </c:pt>
                <c:pt idx="3">
                  <c:v>Magnam Set</c:v>
                </c:pt>
                <c:pt idx="4">
                  <c:v>Quia Gift</c:v>
                </c:pt>
              </c:strCache>
            </c:strRef>
          </c:cat>
          <c:val>
            <c:numRef>
              <c:f>Sheet1!$F$8:$F$13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08D0-4142-BB49-8E1383631DC2}"/>
            </c:ext>
          </c:extLst>
        </c:ser>
        <c:dLbls>
          <c:showLegendKey val="0"/>
          <c:showVal val="0"/>
          <c:showCatName val="0"/>
          <c:showSerName val="0"/>
          <c:showPercent val="0"/>
          <c:showBubbleSize val="0"/>
        </c:dLbls>
        <c:gapWidth val="219"/>
        <c:overlap val="-27"/>
        <c:axId val="2025366063"/>
        <c:axId val="2025377583"/>
      </c:barChart>
      <c:catAx>
        <c:axId val="202536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377583"/>
        <c:crosses val="autoZero"/>
        <c:auto val="1"/>
        <c:lblAlgn val="ctr"/>
        <c:lblOffset val="100"/>
        <c:noMultiLvlLbl val="0"/>
      </c:catAx>
      <c:valAx>
        <c:axId val="20253775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36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[Excelog.xlsx]Sheet1!PivotTable1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Sheet1!$C$29</c:f>
              <c:strCache>
                <c:ptCount val="1"/>
                <c:pt idx="0">
                  <c:v>Total</c:v>
                </c:pt>
              </c:strCache>
            </c:strRef>
          </c:tx>
          <c:spPr>
            <a:ln w="28575" cap="rnd">
              <a:solidFill>
                <a:schemeClr val="accent1"/>
              </a:solidFill>
              <a:round/>
            </a:ln>
            <a:effectLst/>
          </c:spPr>
          <c:marker>
            <c:symbol val="none"/>
          </c:marker>
          <c:cat>
            <c:strRef>
              <c:f>Sheet1!$B$30:$B$54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Sheet1!$C$30:$C$54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430E-4015-B98D-88F4E5259E48}"/>
            </c:ext>
          </c:extLst>
        </c:ser>
        <c:dLbls>
          <c:showLegendKey val="0"/>
          <c:showVal val="0"/>
          <c:showCatName val="0"/>
          <c:showSerName val="0"/>
          <c:showPercent val="0"/>
          <c:showBubbleSize val="0"/>
        </c:dLbls>
        <c:smooth val="0"/>
        <c:axId val="2025389103"/>
        <c:axId val="2025387663"/>
      </c:lineChart>
      <c:catAx>
        <c:axId val="202538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387663"/>
        <c:crosses val="autoZero"/>
        <c:auto val="1"/>
        <c:lblAlgn val="ctr"/>
        <c:lblOffset val="100"/>
        <c:tickLblSkip val="2"/>
        <c:tickMarkSkip val="2"/>
        <c:noMultiLvlLbl val="0"/>
      </c:catAx>
      <c:valAx>
        <c:axId val="2025387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38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0</xdr:row>
      <xdr:rowOff>167640</xdr:rowOff>
    </xdr:from>
    <xdr:to>
      <xdr:col>10</xdr:col>
      <xdr:colOff>68580</xdr:colOff>
      <xdr:row>14</xdr:row>
      <xdr:rowOff>74295</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7998C28A-B52B-D923-03F0-28F32DA759C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26592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129540</xdr:colOff>
      <xdr:row>21</xdr:row>
      <xdr:rowOff>144780</xdr:rowOff>
    </xdr:from>
    <xdr:to>
      <xdr:col>6</xdr:col>
      <xdr:colOff>320040</xdr:colOff>
      <xdr:row>36</xdr:row>
      <xdr:rowOff>144780</xdr:rowOff>
    </xdr:to>
    <xdr:graphicFrame macro="">
      <xdr:nvGraphicFramePr>
        <xdr:cNvPr id="3" name="Chart 2">
          <a:extLst>
            <a:ext uri="{FF2B5EF4-FFF2-40B4-BE49-F238E27FC236}">
              <a16:creationId xmlns:a16="http://schemas.microsoft.com/office/drawing/2014/main" id="{D6D38115-D6A8-4D83-81CA-0D1D38E04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388620</xdr:colOff>
      <xdr:row>6</xdr:row>
      <xdr:rowOff>144780</xdr:rowOff>
    </xdr:from>
    <xdr:to>
      <xdr:col>12</xdr:col>
      <xdr:colOff>579120</xdr:colOff>
      <xdr:row>21</xdr:row>
      <xdr:rowOff>144780</xdr:rowOff>
    </xdr:to>
    <xdr:graphicFrame macro="">
      <xdr:nvGraphicFramePr>
        <xdr:cNvPr id="4" name="Chart 3">
          <a:extLst>
            <a:ext uri="{FF2B5EF4-FFF2-40B4-BE49-F238E27FC236}">
              <a16:creationId xmlns:a16="http://schemas.microsoft.com/office/drawing/2014/main" id="{7A818E89-83E2-43BA-AFBC-0B79C7BF5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129540</xdr:colOff>
      <xdr:row>6</xdr:row>
      <xdr:rowOff>129540</xdr:rowOff>
    </xdr:from>
    <xdr:to>
      <xdr:col>6</xdr:col>
      <xdr:colOff>320040</xdr:colOff>
      <xdr:row>21</xdr:row>
      <xdr:rowOff>129540</xdr:rowOff>
    </xdr:to>
    <xdr:graphicFrame macro="">
      <xdr:nvGraphicFramePr>
        <xdr:cNvPr id="7" name="Chart 6">
          <a:extLst>
            <a:ext uri="{FF2B5EF4-FFF2-40B4-BE49-F238E27FC236}">
              <a16:creationId xmlns:a16="http://schemas.microsoft.com/office/drawing/2014/main" id="{C0354373-54E7-4249-8111-14723DD4F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30480</xdr:colOff>
      <xdr:row>22</xdr:row>
      <xdr:rowOff>0</xdr:rowOff>
    </xdr:from>
    <xdr:to>
      <xdr:col>19</xdr:col>
      <xdr:colOff>220980</xdr:colOff>
      <xdr:row>37</xdr:row>
      <xdr:rowOff>0</xdr:rowOff>
    </xdr:to>
    <xdr:graphicFrame macro="">
      <xdr:nvGraphicFramePr>
        <xdr:cNvPr id="8" name="Chart 7">
          <a:extLst>
            <a:ext uri="{FF2B5EF4-FFF2-40B4-BE49-F238E27FC236}">
              <a16:creationId xmlns:a16="http://schemas.microsoft.com/office/drawing/2014/main" id="{754D831F-930D-4CCE-8F3D-EA0F94564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396240</xdr:colOff>
      <xdr:row>22</xdr:row>
      <xdr:rowOff>0</xdr:rowOff>
    </xdr:from>
    <xdr:to>
      <xdr:col>12</xdr:col>
      <xdr:colOff>586740</xdr:colOff>
      <xdr:row>37</xdr:row>
      <xdr:rowOff>0</xdr:rowOff>
    </xdr:to>
    <xdr:graphicFrame macro="">
      <xdr:nvGraphicFramePr>
        <xdr:cNvPr id="9" name="Chart 8">
          <a:extLst>
            <a:ext uri="{FF2B5EF4-FFF2-40B4-BE49-F238E27FC236}">
              <a16:creationId xmlns:a16="http://schemas.microsoft.com/office/drawing/2014/main" id="{35A8A9C9-A2E2-49C9-946E-5F9583FD4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22860</xdr:colOff>
      <xdr:row>6</xdr:row>
      <xdr:rowOff>121920</xdr:rowOff>
    </xdr:from>
    <xdr:to>
      <xdr:col>19</xdr:col>
      <xdr:colOff>213360</xdr:colOff>
      <xdr:row>21</xdr:row>
      <xdr:rowOff>121920</xdr:rowOff>
    </xdr:to>
    <xdr:graphicFrame macro="">
      <xdr:nvGraphicFramePr>
        <xdr:cNvPr id="11" name="Chart 10">
          <a:extLst>
            <a:ext uri="{FF2B5EF4-FFF2-40B4-BE49-F238E27FC236}">
              <a16:creationId xmlns:a16="http://schemas.microsoft.com/office/drawing/2014/main" id="{21B56FF7-A249-4C41-9907-EF2AB8A72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464820</xdr:colOff>
      <xdr:row>1</xdr:row>
      <xdr:rowOff>0</xdr:rowOff>
    </xdr:from>
    <xdr:to>
      <xdr:col>8</xdr:col>
      <xdr:colOff>213360</xdr:colOff>
      <xdr:row>5</xdr:row>
      <xdr:rowOff>137160</xdr:rowOff>
    </xdr:to>
    <xdr:sp macro="" textlink="Sheet1!H3">
      <xdr:nvSpPr>
        <xdr:cNvPr id="12" name="Rectangle: Rounded Corners 11">
          <a:extLst>
            <a:ext uri="{FF2B5EF4-FFF2-40B4-BE49-F238E27FC236}">
              <a16:creationId xmlns:a16="http://schemas.microsoft.com/office/drawing/2014/main" id="{B8DA01CB-7BEC-CC39-FB36-4A3B3D642562}"/>
            </a:ext>
          </a:extLst>
        </xdr:cNvPr>
        <xdr:cNvSpPr/>
      </xdr:nvSpPr>
      <xdr:spPr>
        <a:xfrm>
          <a:off x="2903220" y="182880"/>
          <a:ext cx="2186940" cy="868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2E05CEE-445B-43CC-92E9-8B134071608E}"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8</xdr:col>
      <xdr:colOff>274320</xdr:colOff>
      <xdr:row>1</xdr:row>
      <xdr:rowOff>7620</xdr:rowOff>
    </xdr:from>
    <xdr:to>
      <xdr:col>12</xdr:col>
      <xdr:colOff>22860</xdr:colOff>
      <xdr:row>5</xdr:row>
      <xdr:rowOff>144780</xdr:rowOff>
    </xdr:to>
    <xdr:sp macro="" textlink="Sheet1!E3">
      <xdr:nvSpPr>
        <xdr:cNvPr id="13" name="Rectangle: Rounded Corners 12">
          <a:extLst>
            <a:ext uri="{FF2B5EF4-FFF2-40B4-BE49-F238E27FC236}">
              <a16:creationId xmlns:a16="http://schemas.microsoft.com/office/drawing/2014/main" id="{B9AF6322-94FF-46D7-A5C4-75B0D40D5EF1}"/>
            </a:ext>
          </a:extLst>
        </xdr:cNvPr>
        <xdr:cNvSpPr/>
      </xdr:nvSpPr>
      <xdr:spPr>
        <a:xfrm>
          <a:off x="5151120" y="190500"/>
          <a:ext cx="2186940" cy="868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7D5E294-C53A-4D83-B350-C11ED8808E56}"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p>
        <a:p>
          <a:pPr algn="ctr"/>
          <a:endParaRPr lang="en-IN" sz="1600"/>
        </a:p>
      </xdr:txBody>
    </xdr:sp>
    <xdr:clientData/>
  </xdr:twoCellAnchor>
  <xdr:twoCellAnchor>
    <xdr:from>
      <xdr:col>12</xdr:col>
      <xdr:colOff>83820</xdr:colOff>
      <xdr:row>0</xdr:row>
      <xdr:rowOff>160020</xdr:rowOff>
    </xdr:from>
    <xdr:to>
      <xdr:col>15</xdr:col>
      <xdr:colOff>441960</xdr:colOff>
      <xdr:row>5</xdr:row>
      <xdr:rowOff>114300</xdr:rowOff>
    </xdr:to>
    <xdr:sp macro="" textlink="Sheet1!F3">
      <xdr:nvSpPr>
        <xdr:cNvPr id="14" name="Rectangle: Rounded Corners 13">
          <a:extLst>
            <a:ext uri="{FF2B5EF4-FFF2-40B4-BE49-F238E27FC236}">
              <a16:creationId xmlns:a16="http://schemas.microsoft.com/office/drawing/2014/main" id="{593ACE5D-381A-4B9F-87BF-13BD4AF65043}"/>
            </a:ext>
          </a:extLst>
        </xdr:cNvPr>
        <xdr:cNvSpPr/>
      </xdr:nvSpPr>
      <xdr:spPr>
        <a:xfrm>
          <a:off x="7399020" y="160020"/>
          <a:ext cx="2186940" cy="868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A6B6612-D577-4B85-9A61-5C01E1FA8389}"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baseline="0">
              <a:solidFill>
                <a:srgbClr val="000000"/>
              </a:solidFill>
              <a:latin typeface="Calibri"/>
              <a:ea typeface="Calibri"/>
              <a:cs typeface="Calibri"/>
            </a:rPr>
            <a:t> order to Delivery Time</a:t>
          </a:r>
          <a:endParaRPr lang="en-IN" sz="1600"/>
        </a:p>
      </xdr:txBody>
    </xdr:sp>
    <xdr:clientData/>
  </xdr:twoCellAnchor>
  <xdr:twoCellAnchor>
    <xdr:from>
      <xdr:col>15</xdr:col>
      <xdr:colOff>487680</xdr:colOff>
      <xdr:row>0</xdr:row>
      <xdr:rowOff>160020</xdr:rowOff>
    </xdr:from>
    <xdr:to>
      <xdr:col>19</xdr:col>
      <xdr:colOff>236220</xdr:colOff>
      <xdr:row>5</xdr:row>
      <xdr:rowOff>114300</xdr:rowOff>
    </xdr:to>
    <xdr:sp macro="" textlink="Sheet1!G3">
      <xdr:nvSpPr>
        <xdr:cNvPr id="15" name="Rectangle: Rounded Corners 14">
          <a:extLst>
            <a:ext uri="{FF2B5EF4-FFF2-40B4-BE49-F238E27FC236}">
              <a16:creationId xmlns:a16="http://schemas.microsoft.com/office/drawing/2014/main" id="{77CB0B09-FC3F-4242-A9DF-66167F87CB79}"/>
            </a:ext>
          </a:extLst>
        </xdr:cNvPr>
        <xdr:cNvSpPr/>
      </xdr:nvSpPr>
      <xdr:spPr>
        <a:xfrm>
          <a:off x="9631680" y="160020"/>
          <a:ext cx="2186940" cy="868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6EA2BFC-4CCA-4320-A081-D863F91783AD}"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Customer's</a:t>
          </a:r>
          <a:r>
            <a:rPr lang="en-US" sz="1600" b="0" i="0" u="none" strike="noStrike" baseline="0">
              <a:solidFill>
                <a:srgbClr val="000000"/>
              </a:solidFill>
              <a:latin typeface="Calibri"/>
              <a:ea typeface="Calibri"/>
              <a:cs typeface="Calibri"/>
            </a:rPr>
            <a:t>  Spent</a:t>
          </a:r>
          <a:endParaRPr lang="en-IN" sz="1600"/>
        </a:p>
      </xdr:txBody>
    </xdr:sp>
    <xdr:clientData/>
  </xdr:twoCellAnchor>
  <xdr:twoCellAnchor editAs="oneCell">
    <xdr:from>
      <xdr:col>19</xdr:col>
      <xdr:colOff>304800</xdr:colOff>
      <xdr:row>17</xdr:row>
      <xdr:rowOff>7620</xdr:rowOff>
    </xdr:from>
    <xdr:to>
      <xdr:col>23</xdr:col>
      <xdr:colOff>60960</xdr:colOff>
      <xdr:row>36</xdr:row>
      <xdr:rowOff>160020</xdr:rowOff>
    </xdr:to>
    <mc:AlternateContent xmlns:mc="http://schemas.openxmlformats.org/markup-compatibility/2006" xmlns:a14="http://schemas.microsoft.com/office/drawing/2010/main">
      <mc:Choice Requires="a14">
        <xdr:graphicFrame macro="">
          <xdr:nvGraphicFramePr>
            <xdr:cNvPr id="17" name="Occasion 1">
              <a:extLst>
                <a:ext uri="{FF2B5EF4-FFF2-40B4-BE49-F238E27FC236}">
                  <a16:creationId xmlns:a16="http://schemas.microsoft.com/office/drawing/2014/main" id="{DE0B558B-3FD5-4A3C-B880-D43904222CB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1887200" y="3116580"/>
              <a:ext cx="2537460" cy="3627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297180</xdr:colOff>
      <xdr:row>0</xdr:row>
      <xdr:rowOff>38100</xdr:rowOff>
    </xdr:from>
    <xdr:to>
      <xdr:col>23</xdr:col>
      <xdr:colOff>38100</xdr:colOff>
      <xdr:row>9</xdr:row>
      <xdr:rowOff>7620</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5A90A571-3D05-6F12-0291-075D9C2A627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879580" y="38100"/>
              <a:ext cx="1821180" cy="16154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312420</xdr:colOff>
      <xdr:row>9</xdr:row>
      <xdr:rowOff>68580</xdr:rowOff>
    </xdr:from>
    <xdr:to>
      <xdr:col>23</xdr:col>
      <xdr:colOff>38100</xdr:colOff>
      <xdr:row>16</xdr:row>
      <xdr:rowOff>160020</xdr:rowOff>
    </xdr:to>
    <mc:AlternateContent xmlns:mc="http://schemas.openxmlformats.org/markup-compatibility/2006" xmlns:tsle="http://schemas.microsoft.com/office/drawing/2012/timeslicer">
      <mc:Choice Requires="tsle">
        <xdr:graphicFrame macro="">
          <xdr:nvGraphicFramePr>
            <xdr:cNvPr id="19" name="Delivery_Date">
              <a:extLst>
                <a:ext uri="{FF2B5EF4-FFF2-40B4-BE49-F238E27FC236}">
                  <a16:creationId xmlns:a16="http://schemas.microsoft.com/office/drawing/2014/main" id="{9B901316-D044-1E6C-3AE9-3D9B975090C5}"/>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894820" y="1714500"/>
              <a:ext cx="17983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121920</xdr:colOff>
      <xdr:row>0</xdr:row>
      <xdr:rowOff>175260</xdr:rowOff>
    </xdr:from>
    <xdr:to>
      <xdr:col>4</xdr:col>
      <xdr:colOff>403860</xdr:colOff>
      <xdr:row>5</xdr:row>
      <xdr:rowOff>129540</xdr:rowOff>
    </xdr:to>
    <xdr:sp macro="" textlink="Sheet1!H3">
      <xdr:nvSpPr>
        <xdr:cNvPr id="2" name="Rectangle: Rounded Corners 1">
          <a:extLst>
            <a:ext uri="{FF2B5EF4-FFF2-40B4-BE49-F238E27FC236}">
              <a16:creationId xmlns:a16="http://schemas.microsoft.com/office/drawing/2014/main" id="{B0C3FB66-B33D-4C56-8175-EF796D3EAF67}"/>
            </a:ext>
          </a:extLst>
        </xdr:cNvPr>
        <xdr:cNvSpPr/>
      </xdr:nvSpPr>
      <xdr:spPr>
        <a:xfrm>
          <a:off x="121920" y="175260"/>
          <a:ext cx="2720340" cy="868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IN" sz="2000">
              <a:solidFill>
                <a:schemeClr val="tx1"/>
              </a:solidFill>
            </a:rPr>
            <a:t>Sales Analysis</a:t>
          </a:r>
        </a:p>
      </xdr:txBody>
    </xdr:sp>
    <xdr:clientData/>
  </xdr:twoCellAnchor>
  <xdr:twoCellAnchor editAs="oneCell">
    <xdr:from>
      <xdr:col>0</xdr:col>
      <xdr:colOff>190500</xdr:colOff>
      <xdr:row>1</xdr:row>
      <xdr:rowOff>106680</xdr:rowOff>
    </xdr:from>
    <xdr:to>
      <xdr:col>1</xdr:col>
      <xdr:colOff>213360</xdr:colOff>
      <xdr:row>5</xdr:row>
      <xdr:rowOff>7620</xdr:rowOff>
    </xdr:to>
    <xdr:pic>
      <xdr:nvPicPr>
        <xdr:cNvPr id="6" name="Picture 5">
          <a:extLst>
            <a:ext uri="{FF2B5EF4-FFF2-40B4-BE49-F238E27FC236}">
              <a16:creationId xmlns:a16="http://schemas.microsoft.com/office/drawing/2014/main" id="{A043CD41-637E-B367-5FB5-EA2D3E840FB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0500" y="289560"/>
          <a:ext cx="632460" cy="6324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53473796296" backgroundQuery="1" createdVersion="8" refreshedVersion="8" minRefreshableVersion="3" recordCount="0" supportSubquery="1" supportAdvancedDrill="1" xr:uid="{3C05A3A3-A2CA-44ED-ACA9-51BD953D43BD}">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3"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534752083331" backgroundQuery="1" createdVersion="8" refreshedVersion="8" minRefreshableVersion="3" recordCount="0" supportSubquery="1" supportAdvancedDrill="1" xr:uid="{4F852674-25B0-4B43-B0C9-42F66E47BCD9}">
  <cacheSource type="external" connectionId="9"/>
  <cacheFields count="4">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534752430554" backgroundQuery="1" createdVersion="8" refreshedVersion="8" minRefreshableVersion="3" recordCount="0" supportSubquery="1" supportAdvancedDrill="1" xr:uid="{2930F38B-A1D3-48CD-814C-7599A6CDBDB6}">
  <cacheSource type="external" connectionId="9"/>
  <cacheFields count="5">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Aperiam Box"/>
        <s v="Dolores Gift"/>
        <s v="Ipsam Set"/>
        <s v="Nostrum Box"/>
        <s v="Velit Set"/>
      </sharedItems>
    </cacheField>
    <cacheField name="[orders].[Occasion].[Occasion]" caption="Occasion" numFmtId="0" hierarchy="23" level="1">
      <sharedItems containsSemiMixedTypes="0" containsNonDate="0" containsString="0"/>
    </cacheField>
    <cacheField name="[orders].[Day Name (order date)].[Day Name (order date)]" caption="Day Name (order date)" numFmtId="0" hierarchy="30" level="1">
      <sharedItems count="7">
        <s v="Friday"/>
        <s v="Monday"/>
        <s v="Saturday"/>
        <s v="Sunday"/>
        <s v="Thursday"/>
        <s v="Tuesday"/>
        <s v="Wednesday"/>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4"/>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534752777778" backgroundQuery="1" createdVersion="8" refreshedVersion="8" minRefreshableVersion="3" recordCount="0" supportSubquery="1" supportAdvancedDrill="1" xr:uid="{176C7829-8544-44EA-8370-68D68847563B}">
  <cacheSource type="external" connectionId="9"/>
  <cacheFields count="4">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53475324074" backgroundQuery="1" createdVersion="8" refreshedVersion="8" minRefreshableVersion="3" recordCount="0" supportSubquery="1" supportAdvancedDrill="1" xr:uid="{7B534BBB-83A0-4406-AE1B-66CCCE768A09}">
  <cacheSource type="external" connectionId="9"/>
  <cacheFields count="3">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534753703701" backgroundQuery="1" createdVersion="8" refreshedVersion="8" minRefreshableVersion="3" recordCount="0" supportSubquery="1" supportAdvancedDrill="1" xr:uid="{8AE7A52E-6844-4F0D-9BEF-D6FCB5DA93B7}">
  <cacheSource type="external" connectionId="9"/>
  <cacheFields count="6">
    <cacheField name="[Measures].[Sum of Revenue]" caption="Sum of Revenue" numFmtId="0" hierarchy="38" level="32767"/>
    <cacheField name="[Measures].[Average of Diff_order_delivery]" caption="Average of Diff_order_delivery" numFmtId="0" hierarchy="40" level="32767"/>
    <cacheField name="[Measures].[Average of Revenue]" caption="Average of Revenue" numFmtId="0" hierarchy="41" level="32767"/>
    <cacheField name="[Measures].[Count of Order_ID]" caption="Count of Order_ID" numFmtId="0" hierarchy="43" level="32767"/>
    <cacheField name="[Measures].[total revenue]" caption="total revenue" numFmtId="0" hierarchy="44"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FNP" count="0" oneField="1">
      <fieldsUsage count="1">
        <fieldUsage x="4"/>
      </fieldsUsage>
    </cacheHierarchy>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534754166663" backgroundQuery="1" createdVersion="8" refreshedVersion="8" minRefreshableVersion="3" recordCount="0" supportSubquery="1" supportAdvancedDrill="1" xr:uid="{9BF84E34-1E2C-4476-998C-3BFC5735B4C3}">
  <cacheSource type="external" connectionId="9"/>
  <cacheFields count="4">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534754513887" backgroundQuery="1" createdVersion="8" refreshedVersion="8" minRefreshableVersion="3" recordCount="0" supportSubquery="1" supportAdvancedDrill="1" xr:uid="{66F5B67F-94CE-444F-BAB2-1C406A04B09C}">
  <cacheSource type="external" connectionId="9"/>
  <cacheFields count="3">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0.673180902777" backgroundQuery="1" createdVersion="3" refreshedVersion="8" minRefreshableVersion="3" recordCount="0" supportSubquery="1" supportAdvancedDrill="1" xr:uid="{057F8166-7E0A-4471-8C0C-60FBF5B376BC}">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1094582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0.683741782406" backgroundQuery="1" createdVersion="3" refreshedVersion="8" minRefreshableVersion="3" recordCount="0" supportSubquery="1" supportAdvancedDrill="1" xr:uid="{96658E10-5A1C-4135-BE6F-83470B71F1A0}">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4281175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0C89A5-0FA8-4DA3-9CDB-75286138CA32}" name="PivotTable3" cacheId="5" applyNumberFormats="0" applyBorderFormats="0" applyFontFormats="0" applyPatternFormats="0" applyAlignmentFormats="0" applyWidthHeightFormats="1" dataCaption="Values" tag="a7aaaed8-b28b-4cf2-9061-c70a41e6fea5" updatedVersion="8" minRefreshableVersion="5" useAutoFormatting="1" subtotalHiddenItems="1" itemPrintTitles="1" createdVersion="8" indent="0" outline="1" outlineData="1" multipleFieldFilters="0">
  <location ref="E2:I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Revenue" fld="0" baseField="0" baseItem="0"/>
    <dataField name="Average of Diff_order_delivery" fld="1" subtotal="average" baseField="0" baseItem="1"/>
    <dataField name="Average of custmoer spending" fld="2" subtotal="average" baseField="0" baseItem="2"/>
    <dataField name="Total order placed" fld="3" subtotal="count" baseField="0" baseItem="3"/>
    <dataField fld="4"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moer spending"/>
    <pivotHierarchy dragToData="1"/>
    <pivotHierarchy dragToData="1" caption="Total order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FN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C32B35-14C8-4AA8-B842-34CE6175E530}" name="PivotTable2" cacheId="4" applyNumberFormats="0" applyBorderFormats="0" applyFontFormats="0" applyPatternFormats="0" applyAlignmentFormats="0" applyWidthHeightFormats="1" dataCaption="Values" tag="1304d3e5-a5b8-40cf-b1d2-ebb586123b50" updatedVersion="8" minRefreshableVersion="5" useAutoFormatting="1" subtotalHiddenItems="1" itemPrintTitles="1" createdVersion="8" indent="0" outline="1" outlineData="1" multipleFieldFilters="0" chartFormat="5">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91B56F-4705-40B2-A89A-DCD9CF06323C}" name="PivotTable6" cacheId="2" applyNumberFormats="0" applyBorderFormats="0" applyFontFormats="0" applyPatternFormats="0" applyAlignmentFormats="0" applyWidthHeightFormats="1" dataCaption="Values" tag="c8bb1274-eb39-4299-abe8-9930437287fa" updatedVersion="8" minRefreshableVersion="5" useAutoFormatting="1" subtotalHiddenItems="1" itemPrintTitles="1" createdVersion="8" indent="0" outline="1" outlineData="1" multipleFieldFilters="0" chartFormat="8">
  <location ref="H31:I3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0"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8">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835128-FFCC-414A-B2B1-644285C1A391}" name="PivotTable8" cacheId="7" applyNumberFormats="0" applyBorderFormats="0" applyFontFormats="0" applyPatternFormats="0" applyAlignmentFormats="0" applyWidthHeightFormats="1" dataCaption="Values" tag="a013c75f-1e25-4d0a-ab29-96595e50ea94" updatedVersion="8" minRefreshableVersion="5" useAutoFormatting="1" subtotalHiddenItems="1" itemPrintTitles="1" createdVersion="8" indent="0" outline="1" outlineData="1" multipleFieldFilters="0" chartFormat="7">
  <location ref="H18:I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5B6F41-7818-40DA-945E-B5DE82C105D9}" name="PivotTable7" cacheId="0" applyNumberFormats="0" applyBorderFormats="0" applyFontFormats="0" applyPatternFormats="0" applyAlignmentFormats="0" applyWidthHeightFormats="1" dataCaption="Values" tag="fcde4631-a735-499b-822c-2e1f3cddd499" updatedVersion="8" minRefreshableVersion="5" useAutoFormatting="1" subtotalHiddenItems="1" itemPrintTitles="1" createdVersion="8" indent="0" outline="1" outlineData="1" multipleFieldFilters="0" chartFormat="17">
  <location ref="E18:F29"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16"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9230EF-A739-4E18-9CCA-5082CA506C13}" name="PivotTable5" cacheId="6" applyNumberFormats="0" applyBorderFormats="0" applyFontFormats="0" applyPatternFormats="0" applyAlignmentFormats="0" applyWidthHeightFormats="1" dataCaption="Values" tag="8c5ae415-f724-4c00-81e3-3e0af8973ab2" updatedVersion="8" minRefreshableVersion="5" useAutoFormatting="1" subtotalHiddenItems="1" itemPrintTitles="1" createdVersion="8" indent="0" outline="1" outlineData="1" multipleFieldFilters="0" chartFormat="6">
  <location ref="B18:C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46EFA6-AAF3-4960-92D8-ED5604DA0745}" name="PivotTable4" cacheId="1" applyNumberFormats="0" applyBorderFormats="0" applyFontFormats="0" applyPatternFormats="0" applyAlignmentFormats="0" applyWidthHeightFormats="1" dataCaption="Values" tag="c8bb1274-eb39-4299-abe8-9930437287fa" updatedVersion="8" minRefreshableVersion="5" useAutoFormatting="1" subtotalHiddenItems="1" itemPrintTitles="1" createdVersion="8" indent="0" outline="1" outlineData="1" multipleFieldFilters="0" chartFormat="8">
  <location ref="E7:F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8">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394F9C-6C34-4775-8792-C9D57DAAA1CA}" name="PivotTable1" cacheId="3" applyNumberFormats="0" applyBorderFormats="0" applyFontFormats="0" applyPatternFormats="0" applyAlignmentFormats="0" applyWidthHeightFormats="1" dataCaption="Values" tag="fa52f0b8-07fc-4617-b3d8-7194f848f38e" updatedVersion="8" minRefreshableVersion="5" useAutoFormatting="1" subtotalHiddenItems="1" itemPrintTitles="1" createdVersion="8" indent="0" outline="1" outlineData="1" multipleFieldFilters="0" chartFormat="22">
  <location ref="B29:C5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21"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5CD3BB4-FED4-4735-AF5B-E7ACEF7D642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81340DE-9B88-4C35-90AD-3F923CA923B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17D0D89-FFEE-45E2-8857-E8D00E2AE697}"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_delivery" tableColumnId="13"/>
      <queryTableField id="14" name="Hour(delivery_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CECDD28-3779-48DD-85BF-07D3876514F6}"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42891FB-1F63-4446-BC79-56C342D858D1}" sourceName="[orders].[Occasion]">
  <pivotTables>
    <pivotTable tabId="1" name="PivotTable4"/>
    <pivotTable tabId="1" name="PivotTable6"/>
    <pivotTable tabId="1" name="PivotTable1"/>
    <pivotTable tabId="1" name="PivotTable2"/>
    <pivotTable tabId="1" name="PivotTable3"/>
    <pivotTable tabId="1" name="PivotTable5"/>
    <pivotTable tabId="1" name="PivotTable8"/>
  </pivotTables>
  <data>
    <olap pivotCacheId="181094582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9E7F735-14F9-433A-8A98-70E33F149802}"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5BAB1E9F-1CCC-49FE-9BDE-118C44CFEE47}"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2BA06F-B8D7-426A-ADA9-4C1560FDBB27}" name="FNP" displayName="FNP" ref="A1:F4" tableType="queryTable" totalsRowShown="0">
  <autoFilter ref="A1:F4" xr:uid="{952BA06F-B8D7-426A-ADA9-4C1560FDBB27}"/>
  <tableColumns count="6">
    <tableColumn id="1" xr3:uid="{A66FA3C0-3F73-4B31-9742-D73F37343162}" uniqueName="1" name="Name" queryTableFieldId="1" dataDxfId="24"/>
    <tableColumn id="2" xr3:uid="{FAD2F836-6D12-44AA-B958-9CCDE5E9D0D6}" uniqueName="2" name="Extension" queryTableFieldId="2" dataDxfId="23"/>
    <tableColumn id="3" xr3:uid="{AB32617E-0FDB-44C3-A090-D5B34AA342C4}" uniqueName="3" name="Date accessed" queryTableFieldId="3" dataDxfId="22"/>
    <tableColumn id="4" xr3:uid="{AD7E88E7-BB19-4F1D-A448-E7FC1076A951}" uniqueName="4" name="Date modified" queryTableFieldId="4" dataDxfId="21"/>
    <tableColumn id="5" xr3:uid="{3FCC4AEB-C30D-4749-B42D-1040FEE80970}" uniqueName="5" name="Date created" queryTableFieldId="5" dataDxfId="20"/>
    <tableColumn id="6" xr3:uid="{18983EB1-2FC0-43B0-96FD-E827DE3D0B6B}"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1CFD06-A230-4925-9316-57AE0248366B}" name="customers" displayName="customers" ref="A1:G101" tableType="queryTable" totalsRowShown="0">
  <autoFilter ref="A1:G101" xr:uid="{F01CFD06-A230-4925-9316-57AE0248366B}"/>
  <tableColumns count="7">
    <tableColumn id="1" xr3:uid="{B33A81BA-9928-46EE-9888-4A20E63857F3}" uniqueName="1" name="Customer_ID" queryTableFieldId="1" dataDxfId="18"/>
    <tableColumn id="2" xr3:uid="{6FCC9706-E98D-471B-BCD5-CC5E5C483A0A}" uniqueName="2" name="Name" queryTableFieldId="2" dataDxfId="17"/>
    <tableColumn id="3" xr3:uid="{E7B81C8C-74BB-41C7-8F40-604574F29469}" uniqueName="3" name="City" queryTableFieldId="3" dataDxfId="16"/>
    <tableColumn id="4" xr3:uid="{6BF7014F-0D8D-493D-AAF3-513F8DCAB6BB}" uniqueName="4" name="Contact_Number" queryTableFieldId="4" dataDxfId="15"/>
    <tableColumn id="5" xr3:uid="{2354DCED-9575-4157-8A4C-F2D9B78129A6}" uniqueName="5" name="Email" queryTableFieldId="5" dataDxfId="14"/>
    <tableColumn id="6" xr3:uid="{075831AA-31AE-4F5E-A7C6-8994B8C6D71B}" uniqueName="6" name="Gender" queryTableFieldId="6" dataDxfId="13"/>
    <tableColumn id="7" xr3:uid="{EBD27474-4FDB-43E4-A5B7-5062DBE65E46}"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759F05-C95A-4C98-8373-4AE81445EBAB}" name="orders" displayName="orders" ref="A1:Q1001" tableType="queryTable" totalsRowShown="0">
  <autoFilter ref="A1:Q1001" xr:uid="{AD759F05-C95A-4C98-8373-4AE81445EBAB}"/>
  <tableColumns count="17">
    <tableColumn id="1" xr3:uid="{1B1074F5-8D36-4EE0-9C32-58A997386CAE}" uniqueName="1" name="Order_ID" queryTableFieldId="1"/>
    <tableColumn id="2" xr3:uid="{BEA3F16E-3DFF-418E-80C9-D8D91F90CBE5}" uniqueName="2" name="Customer_ID" queryTableFieldId="2" dataDxfId="11"/>
    <tableColumn id="3" xr3:uid="{64A34CDF-AA08-4B92-9BE8-0D1D119F6BA6}" uniqueName="3" name="Product_ID" queryTableFieldId="3"/>
    <tableColumn id="4" xr3:uid="{AA96106F-7AF0-4878-8D89-06E58357A28D}" uniqueName="4" name="Quantity" queryTableFieldId="4"/>
    <tableColumn id="5" xr3:uid="{37322497-1879-4C7C-91E1-929838AD415A}" uniqueName="5" name="Order_Date" queryTableFieldId="5" dataDxfId="10"/>
    <tableColumn id="6" xr3:uid="{7AE61B5C-98A2-4C95-9532-307D20F36F43}" uniqueName="6" name="Order_Time" queryTableFieldId="6" dataDxfId="9"/>
    <tableColumn id="7" xr3:uid="{8ACF2758-6D1F-430E-80E9-73B96F0F7267}" uniqueName="7" name="Delivery_Date" queryTableFieldId="7" dataDxfId="8"/>
    <tableColumn id="8" xr3:uid="{F643ED18-B2F7-4EB9-ABF8-EEA8053E03F1}" uniqueName="8" name="Delivery_Time" queryTableFieldId="8" dataDxfId="7"/>
    <tableColumn id="9" xr3:uid="{48CA7693-4D23-48B7-A598-1CAF5B49F0F2}" uniqueName="9" name="Location" queryTableFieldId="9" dataDxfId="6"/>
    <tableColumn id="10" xr3:uid="{36150A5A-7428-4EE3-A188-25C346B1E140}" uniqueName="10" name="Occasion" queryTableFieldId="10" dataDxfId="5"/>
    <tableColumn id="11" xr3:uid="{4CB8BD01-286E-42EF-86C8-DB0F590E3DC8}" uniqueName="11" name="Month Name" queryTableFieldId="11" dataDxfId="4"/>
    <tableColumn id="12" xr3:uid="{22943178-D69F-4863-B04E-412EC8E80F88}" uniqueName="12" name="Hour(order_time)" queryTableFieldId="12"/>
    <tableColumn id="13" xr3:uid="{EFABB07F-85DF-4846-9B72-32D64C3149D2}" uniqueName="13" name="Diff_order_delivery" queryTableFieldId="13"/>
    <tableColumn id="14" xr3:uid="{0D5D5244-5D58-44F8-B48C-D1DCE116EEBF}" uniqueName="14" name="Hour(delivery_time)" queryTableFieldId="14"/>
    <tableColumn id="15" xr3:uid="{CA58C33F-1280-44E8-9160-A35ADE2C0CD8}" uniqueName="15" name="Price (INR)" queryTableFieldId="15"/>
    <tableColumn id="16" xr3:uid="{156EE6BF-08F9-4867-8A30-B413CC661AEA}" uniqueName="16" name="Revenue" queryTableFieldId="16"/>
    <tableColumn id="18" xr3:uid="{01F6728E-B9DF-4921-853C-099AF4F3069E}"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9B6CE0-7FDB-46D2-83D7-1EEB5FC88577}" name="products" displayName="products" ref="A1:F71" tableType="queryTable" totalsRowShown="0">
  <autoFilter ref="A1:F71" xr:uid="{2E9B6CE0-7FDB-46D2-83D7-1EEB5FC88577}"/>
  <tableColumns count="6">
    <tableColumn id="1" xr3:uid="{42FC86A0-05C1-4BAA-A120-2BCD50A4C61E}" uniqueName="1" name="Product_ID" queryTableFieldId="1"/>
    <tableColumn id="2" xr3:uid="{D2595A43-143B-4B5B-A876-5AEF2082119E}" uniqueName="2" name="Product_Name" queryTableFieldId="2" dataDxfId="3"/>
    <tableColumn id="3" xr3:uid="{5D7F4C81-AE5C-4D89-8F71-34FF16DAB620}" uniqueName="3" name="Category" queryTableFieldId="3" dataDxfId="2"/>
    <tableColumn id="4" xr3:uid="{33B626CF-A532-449D-BA9F-A246696BDEB6}" uniqueName="4" name="Price (INR)" queryTableFieldId="4"/>
    <tableColumn id="5" xr3:uid="{12ABED7B-8520-412D-AC52-97649992F466}" uniqueName="5" name="Occasion" queryTableFieldId="5" dataDxfId="1"/>
    <tableColumn id="6" xr3:uid="{64FE774A-1894-4AE0-AF60-9D16986A46F0}"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B875A3A-16AF-45A3-BF21-73B0506529D8}" sourceName="[orders].[Order_Date]">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s>
  <state minimalRefreshVersion="6" lastRefreshVersion="6" pivotCacheId="34281175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12E7B7A-2991-4E3F-B7D4-86D2376DA395}" sourceName="[orders].[Delivery_Date]">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s>
  <state minimalRefreshVersion="6" lastRefreshVersion="6" pivotCacheId="34281175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0D204A9-5C28-4B69-8156-D8717CC6ECB3}" cache="Timeline_Order_Date" caption="Order_Date" level="3" selectionLevel="3" scrollPosition="2023-02-09T00:00:00"/>
  <timeline name="Delivery_Date" xr10:uid="{FF5F47BC-383C-4AA1-91B9-C28538813C2E}"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F82C-C904-49A4-887C-CFA678B1FC73}">
  <dimension ref="A1:F4"/>
  <sheetViews>
    <sheetView workbookViewId="0">
      <selection activeCell="C24" sqref="C24"/>
    </sheetView>
  </sheetViews>
  <sheetFormatPr defaultRowHeight="14.4" x14ac:dyDescent="0.3"/>
  <cols>
    <col min="1" max="1" width="12.5546875" bestFit="1" customWidth="1"/>
    <col min="2" max="2" width="11.33203125" bestFit="1" customWidth="1"/>
    <col min="3" max="5" width="15.44140625" bestFit="1" customWidth="1"/>
    <col min="6" max="6" width="30" bestFit="1" customWidth="1"/>
  </cols>
  <sheetData>
    <row r="1" spans="1:6" x14ac:dyDescent="0.3">
      <c r="A1" t="s">
        <v>0</v>
      </c>
      <c r="B1" t="s">
        <v>1</v>
      </c>
      <c r="C1" t="s">
        <v>2</v>
      </c>
      <c r="D1" t="s">
        <v>3</v>
      </c>
      <c r="E1" t="s">
        <v>4</v>
      </c>
      <c r="F1" t="s">
        <v>5</v>
      </c>
    </row>
    <row r="2" spans="1:6" x14ac:dyDescent="0.3">
      <c r="A2" t="s">
        <v>6</v>
      </c>
      <c r="B2" t="s">
        <v>7</v>
      </c>
      <c r="C2" s="1">
        <v>46080.549013773147</v>
      </c>
      <c r="D2" s="1">
        <v>46080.504965084874</v>
      </c>
      <c r="E2" s="1">
        <v>46080.504963117281</v>
      </c>
      <c r="F2" t="s">
        <v>8</v>
      </c>
    </row>
    <row r="3" spans="1:6" x14ac:dyDescent="0.3">
      <c r="A3" t="s">
        <v>9</v>
      </c>
      <c r="B3" t="s">
        <v>7</v>
      </c>
      <c r="C3" s="1">
        <v>46080.523626581788</v>
      </c>
      <c r="D3" s="1">
        <v>46080.505018788579</v>
      </c>
      <c r="E3" s="1">
        <v>46080.50501685957</v>
      </c>
      <c r="F3" t="s">
        <v>8</v>
      </c>
    </row>
    <row r="4" spans="1:6" x14ac:dyDescent="0.3">
      <c r="A4" t="s">
        <v>10</v>
      </c>
      <c r="B4" t="s">
        <v>7</v>
      </c>
      <c r="C4" s="1">
        <v>46080.548359645065</v>
      </c>
      <c r="D4" s="1">
        <v>46080.505055092595</v>
      </c>
      <c r="E4" s="1">
        <v>46080.50505324074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8708-9927-4BE4-88CD-693560079DE2}">
  <dimension ref="A1:G101"/>
  <sheetViews>
    <sheetView workbookViewId="0">
      <selection activeCell="C28" sqref="C28"/>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5FDC7-53C9-47A9-9B15-9FA875C2C61E}">
  <dimension ref="A1:Q1001"/>
  <sheetViews>
    <sheetView topLeftCell="D22" workbookViewId="0">
      <selection sqref="A1:Q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9.6640625" bestFit="1" customWidth="1"/>
    <col min="14" max="14" width="20.33203125" bestFit="1" customWidth="1"/>
    <col min="15" max="15" width="12.109375" bestFit="1" customWidth="1"/>
    <col min="16" max="16" width="10.5546875" bestFit="1" customWidth="1"/>
    <col min="17" max="17" width="22.664062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1013</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1006</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1007</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1008</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1006</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1009</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1006</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1006</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1009</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1009</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1006</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1006</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1006</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1010</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1010</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1010</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1011</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1007</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1006</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1006</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1007</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1006</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1009</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1009</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1006</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1009</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1007</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1009</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1011</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1012</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1008</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1011</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1008</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1006</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1006</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1006</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1006</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1010</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1007</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1007</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1008</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1009</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1006</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1010</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1007</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1006</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1009</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1010</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1011</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1011</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1009</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1009</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1007</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1011</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1009</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1006</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1009</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1012</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1010</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1011</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1006</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1006</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1009</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1006</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1007</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1010</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1006</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1006</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1009</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1007</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1008</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1008</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1010</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1009</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1009</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1006</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1008</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1006</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1011</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1006</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1012</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1011</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1007</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1006</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1007</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1008</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1009</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1010</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1008</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1007</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1009</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1009</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1012</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1006</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1006</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1009</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1010</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1006</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1011</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1007</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1010</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1012</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1009</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1008</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1010</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1012</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1010</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1009</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1009</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1009</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1010</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1010</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1006</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1010</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1008</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1007</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1011</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1009</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1009</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1008</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1012</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1012</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1009</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1009</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1009</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1007</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1010</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1007</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1006</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1010</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1010</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1008</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1010</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1008</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1011</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1011</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1010</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1012</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1009</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1008</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1011</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1011</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1011</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1009</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1009</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1011</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1011</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1009</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1009</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1011</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1010</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1012</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1012</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1012</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1009</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1011</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1006</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1009</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1009</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1011</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1010</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1009</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1009</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1010</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1011</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1011</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1011</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1009</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1010</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1010</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1009</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1012</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1011</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1010</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1011</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1011</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1011</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1009</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1012</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1009</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1011</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1009</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1010</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1012</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1012</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1011</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1006</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1009</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1008</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1006</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1012</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1012</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1010</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1009</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1009</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1008</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1009</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1011</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1011</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1011</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1010</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1007</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1010</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1012</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1012</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1011</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1010</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1009</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1010</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1007</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1009</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1011</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1011</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1012</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1007</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1011</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1009</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1010</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1006</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1008</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1011</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1008</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1007</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1008</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1008</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1006</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1010</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1009</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1009</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1012</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1007</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1008</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1012</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1007</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1009</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1007</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1011</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1010</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1011</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1009</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1007</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1009</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1012</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1012</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1009</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1012</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1006</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1012</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1011</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1011</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1007</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1006</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1011</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1009</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1006</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1006</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1010</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1012</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1006</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1012</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1012</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1011</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1006</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1008</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1008</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1006</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1006</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1012</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1006</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1006</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1009</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1009</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1006</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1006</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1008</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1006</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1008</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1009</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1009</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1007</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1009</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1010</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1009</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1009</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1009</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1010</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1006</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1012</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1010</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1008</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1010</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1007</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1012</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1010</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1011</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1011</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1007</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1010</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1006</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1008</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1008</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1008</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1006</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1007</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1008</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1008</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1010</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1008</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1008</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1009</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1011</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1009</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1007</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1011</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1012</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1006</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1010</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1011</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1009</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1012</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1012</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1007</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1007</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1010</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1010</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1012</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1011</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1011</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1009</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1007</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1011</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1008</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1012</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1008</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1010</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1008</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1009</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1012</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1007</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1012</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1011</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1008</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1006</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1009</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1008</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1012</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1010</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1008</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1012</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1010</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1010</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1012</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1008</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1007</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1009</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1006</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1008</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1008</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1011</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1008</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1011</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1009</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1012</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1009</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1011</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1010</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1010</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1011</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1009</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1009</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1010</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1010</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1006</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1011</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1008</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1012</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1007</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1012</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1006</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1009</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1009</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1009</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1011</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1011</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1009</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1009</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1006</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1008</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1007</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1009</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1011</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1006</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1009</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1012</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1009</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1012</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1011</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1009</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1010</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1012</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1009</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1012</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1011</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1006</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1006</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1011</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1007</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1011</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1011</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1007</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1010</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1011</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1009</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1008</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1009</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1012</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1010</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1009</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1009</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1009</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1011</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1011</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1007</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1010</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1009</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1006</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1011</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1011</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1008</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1011</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1012</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1009</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1011</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1009</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1011</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1012</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1006</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1010</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1007</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1010</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1010</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1010</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1011</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1009</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1011</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1009</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1009</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1008</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1011</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1008</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1009</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1011</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1011</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1010</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1009</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1007</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1009</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1010</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1010</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1011</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1008</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1009</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1011</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1009</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1008</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1007</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1008</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1010</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1011</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1011</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1010</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1007</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1011</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1007</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1011</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1011</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1010</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1011</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1008</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1007</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1012</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1008</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1006</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1010</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1008</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1012</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1011</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1010</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1011</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1011</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1009</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1011</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1007</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1009</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1006</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1011</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1010</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1011</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1010</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1008</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1011</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1011</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1006</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1011</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1011</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1009</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1011</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1009</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1011</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1008</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1010</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1008</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1006</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1008</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1009</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1010</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1007</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1006</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1009</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1007</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1010</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1012</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1011</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1011</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1009</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1006</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1010</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1011</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1010</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1010</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1010</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1011</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1006</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1011</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1008</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1007</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1008</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1006</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1011</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1010</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1012</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1011</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1007</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1007</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1012</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1009</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1006</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1011</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1011</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1011</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1009</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1007</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1008</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1012</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1007</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1010</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1010</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1008</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1011</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1010</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1007</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1008</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1011</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1011</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1010</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1010</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1007</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1009</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1007</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1007</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1006</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1011</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1007</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1006</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1007</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1012</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1011</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1006</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1009</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1011</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1008</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1012</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1006</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1008</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1011</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1012</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1007</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1012</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1012</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1006</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1007</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1006</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1006</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1012</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1007</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1012</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1012</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1008</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1010</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1010</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1006</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1006</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1012</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1008</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1008</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1012</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1011</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1006</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1008</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1012</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1012</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1007</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1010</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1010</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1012</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1006</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1008</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1009</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1006</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1006</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1010</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1007</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1011</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1007</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1010</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1009</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1012</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1009</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1008</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1012</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1006</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1010</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1009</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1012</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1012</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1006</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1012</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1008</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1007</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1009</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1007</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1007</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1012</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1009</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1012</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1006</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1011</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1006</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1012</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1010</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1006</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1011</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1008</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1007</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1012</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1011</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1010</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1012</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1008</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1012</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1012</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1012</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1008</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1007</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1011</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1006</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1007</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1008</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1012</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1009</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1010</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1008</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1008</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1012</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1012</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1009</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1008</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1012</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1010</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1007</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1011</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1011</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1008</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1009</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1010</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1009</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1012</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1010</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1007</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1011</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1008</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1007</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1008</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1008</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1010</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1009</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1011</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1008</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1011</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1010</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1006</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1009</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1010</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1007</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1009</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1009</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1008</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1007</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1006</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1008</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1006</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1011</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1008</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1008</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1012</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1006</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1007</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1011</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1007</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1007</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1008</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1007</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1012</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1011</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1011</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1011</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1009</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1006</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1009</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1009</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1008</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1008</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1011</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1012</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1008</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1006</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1010</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1006</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1009</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1006</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1006</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1011</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1006</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1011</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1010</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1009</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1011</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1012</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1009</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1008</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1010</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1009</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1009</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1006</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1010</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1012</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1007</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1010</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1010</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1010</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1010</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1008</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1012</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1007</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1008</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1010</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1010</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1010</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1010</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1006</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1008</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1011</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1009</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1006</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1011</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1008</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1011</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1009</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1012</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1012</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1010</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1009</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1012</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1009</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1008</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1010</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1009</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1007</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1008</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1007</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1008</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1010</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1006</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1011</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1008</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1008</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1009</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1006</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1009</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1006</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1009</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1008</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1009</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1012</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1007</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1009</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1007</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1009</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1007</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1011</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1008</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1009</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1006</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1009</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1008</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1011</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1012</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1011</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1012</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1010</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1008</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1009</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1012</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1012</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1009</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1008</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1006</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1007</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1009</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1008</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1007</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1006</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1011</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1010</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1008</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1011</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1011</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1009</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1006</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1009</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1008</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1007</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1012</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1007</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1011</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1011</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1011</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1009</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1008</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1012</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1010</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1007</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1008</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1009</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1008</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1006</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1012</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1012</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1008</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1006</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1008</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1006</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1009</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1012</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1009</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1008</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1008</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1012</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1010</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1012</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1008</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1008</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1012</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1008</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1010</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1007</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1010</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1008</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1007</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1011</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1012</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1010</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1010</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1008</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1011</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1010</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1011</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1012</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1009</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1011</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1009</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1011</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1007</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1009</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1006</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1009</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1012</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1007</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1011</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1006</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1011</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1010</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1011</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1007</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1012</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1009</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1010</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1007</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1012</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1008</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1006</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1006</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1012</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1008</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1007</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1007</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1012</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1011</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1011</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1009</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1010</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1010</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1010</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1011</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1012</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1006</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1008</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1008</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1009</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1006</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1006</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1008</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1008</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1011</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1007</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1007</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1007</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1008</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1009</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1006</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1010</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1006</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1012</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1008</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1010</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1008</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1011</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1006</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1012</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1008</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1007</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1012</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1012</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1006</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1009</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1006</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1006</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1007</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1010</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1009</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1012</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1010</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1010</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1010</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1010</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1007</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1007</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1008</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1008</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1009</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1011</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1008</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1006</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1008</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1011</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1012</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1007</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1008</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1008</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1010</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1009</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1006</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1007</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1007</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1009</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1011</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1010</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1012</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1006</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1006</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1009</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1008</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1012</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1008</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1012</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1009</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1008</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1012</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1009</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1009</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B27C-30B1-4882-AE59-B4E8779C0208}">
  <dimension ref="A1:F71"/>
  <sheetViews>
    <sheetView workbookViewId="0">
      <selection activeCell="D27" sqref="D27"/>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D6C9E-F866-4143-944C-9A8C9D8B5AE5}">
  <dimension ref="B2:I54"/>
  <sheetViews>
    <sheetView tabSelected="1" workbookViewId="0">
      <selection activeCell="O7" sqref="O7"/>
    </sheetView>
  </sheetViews>
  <sheetFormatPr defaultRowHeight="14.4" x14ac:dyDescent="0.3"/>
  <cols>
    <col min="1" max="1" width="12.5546875" bestFit="1" customWidth="1"/>
    <col min="2" max="2" width="14.44140625" bestFit="1" customWidth="1"/>
    <col min="3" max="3" width="14.88671875" bestFit="1" customWidth="1"/>
    <col min="5" max="5" width="14.88671875" bestFit="1" customWidth="1"/>
    <col min="6" max="6" width="27.21875" bestFit="1" customWidth="1"/>
    <col min="7" max="7" width="27" bestFit="1" customWidth="1"/>
    <col min="8" max="8" width="14.44140625" bestFit="1" customWidth="1"/>
    <col min="9" max="9" width="14.88671875" bestFit="1" customWidth="1"/>
    <col min="10" max="90" width="25.6640625" bestFit="1" customWidth="1"/>
    <col min="91" max="91" width="10.77734375" bestFit="1" customWidth="1"/>
  </cols>
  <sheetData>
    <row r="2" spans="2:9" x14ac:dyDescent="0.3">
      <c r="B2" s="4" t="s">
        <v>1003</v>
      </c>
      <c r="C2" t="s">
        <v>1014</v>
      </c>
      <c r="E2" t="s">
        <v>1014</v>
      </c>
      <c r="F2" t="s">
        <v>1015</v>
      </c>
      <c r="G2" t="s">
        <v>1018</v>
      </c>
      <c r="H2" t="s">
        <v>1017</v>
      </c>
      <c r="I2" t="s">
        <v>1019</v>
      </c>
    </row>
    <row r="3" spans="2:9" x14ac:dyDescent="0.3">
      <c r="B3" s="5" t="s">
        <v>842</v>
      </c>
      <c r="C3" s="7">
        <v>95468</v>
      </c>
      <c r="E3" s="7">
        <v>3520984</v>
      </c>
      <c r="F3">
        <v>5.53</v>
      </c>
      <c r="G3" s="7">
        <v>3520.9839999999999</v>
      </c>
      <c r="H3">
        <v>1000</v>
      </c>
      <c r="I3" s="7">
        <v>3520984</v>
      </c>
    </row>
    <row r="4" spans="2:9" x14ac:dyDescent="0.3">
      <c r="B4" s="5" t="s">
        <v>621</v>
      </c>
      <c r="C4" s="7">
        <v>704509</v>
      </c>
    </row>
    <row r="5" spans="2:9" x14ac:dyDescent="0.3">
      <c r="B5" s="5" t="s">
        <v>747</v>
      </c>
      <c r="C5" s="7">
        <v>511823</v>
      </c>
    </row>
    <row r="6" spans="2:9" x14ac:dyDescent="0.3">
      <c r="B6" s="5" t="s">
        <v>837</v>
      </c>
      <c r="C6" s="7">
        <v>140393</v>
      </c>
    </row>
    <row r="7" spans="2:9" x14ac:dyDescent="0.3">
      <c r="B7" s="5" t="s">
        <v>840</v>
      </c>
      <c r="C7" s="7">
        <v>150346</v>
      </c>
      <c r="E7" s="4" t="s">
        <v>1003</v>
      </c>
      <c r="F7" t="s">
        <v>1014</v>
      </c>
      <c r="H7">
        <f>CORREL(orders[Quantity],orders[Diff_order_delivery])</f>
        <v>3.4781737193018245E-3</v>
      </c>
    </row>
    <row r="8" spans="2:9" x14ac:dyDescent="0.3">
      <c r="B8" s="5" t="s">
        <v>841</v>
      </c>
      <c r="C8" s="7">
        <v>157913</v>
      </c>
      <c r="E8" s="5" t="s">
        <v>891</v>
      </c>
      <c r="F8" s="7">
        <v>97665</v>
      </c>
    </row>
    <row r="9" spans="2:9" x14ac:dyDescent="0.3">
      <c r="B9" s="5" t="s">
        <v>839</v>
      </c>
      <c r="C9" s="7">
        <v>135826</v>
      </c>
      <c r="E9" s="5" t="s">
        <v>973</v>
      </c>
      <c r="F9" s="7">
        <v>106624</v>
      </c>
    </row>
    <row r="10" spans="2:9" x14ac:dyDescent="0.3">
      <c r="B10" s="5" t="s">
        <v>795</v>
      </c>
      <c r="C10" s="7">
        <v>737389</v>
      </c>
      <c r="E10" s="5" t="s">
        <v>957</v>
      </c>
      <c r="F10" s="7">
        <v>101556</v>
      </c>
    </row>
    <row r="11" spans="2:9" x14ac:dyDescent="0.3">
      <c r="B11" s="5" t="s">
        <v>843</v>
      </c>
      <c r="C11" s="7">
        <v>136938</v>
      </c>
      <c r="E11" s="5" t="s">
        <v>859</v>
      </c>
      <c r="F11" s="7">
        <v>121905</v>
      </c>
    </row>
    <row r="12" spans="2:9" x14ac:dyDescent="0.3">
      <c r="B12" s="5" t="s">
        <v>845</v>
      </c>
      <c r="C12" s="7">
        <v>151619</v>
      </c>
      <c r="E12" s="5" t="s">
        <v>905</v>
      </c>
      <c r="F12" s="7">
        <v>114476</v>
      </c>
    </row>
    <row r="13" spans="2:9" x14ac:dyDescent="0.3">
      <c r="B13" s="5" t="s">
        <v>822</v>
      </c>
      <c r="C13" s="7">
        <v>449169</v>
      </c>
      <c r="E13" s="5" t="s">
        <v>1004</v>
      </c>
      <c r="F13" s="7">
        <v>542226</v>
      </c>
    </row>
    <row r="14" spans="2:9" x14ac:dyDescent="0.3">
      <c r="B14" s="5" t="s">
        <v>836</v>
      </c>
      <c r="C14" s="7">
        <v>149591</v>
      </c>
    </row>
    <row r="15" spans="2:9" x14ac:dyDescent="0.3">
      <c r="B15" s="5" t="s">
        <v>1004</v>
      </c>
      <c r="C15" s="7">
        <v>3520984</v>
      </c>
    </row>
    <row r="18" spans="2:9" x14ac:dyDescent="0.3">
      <c r="B18" s="4" t="s">
        <v>1003</v>
      </c>
      <c r="C18" t="s">
        <v>1014</v>
      </c>
      <c r="E18" s="4" t="s">
        <v>1003</v>
      </c>
      <c r="F18" t="s">
        <v>1016</v>
      </c>
      <c r="H18" s="4" t="s">
        <v>1003</v>
      </c>
      <c r="I18" t="s">
        <v>1014</v>
      </c>
    </row>
    <row r="19" spans="2:9" x14ac:dyDescent="0.3">
      <c r="B19" s="5" t="s">
        <v>874</v>
      </c>
      <c r="C19" s="7">
        <v>329862</v>
      </c>
      <c r="E19" s="5" t="s">
        <v>218</v>
      </c>
      <c r="F19">
        <v>18</v>
      </c>
      <c r="H19" s="5" t="s">
        <v>699</v>
      </c>
      <c r="I19" s="7">
        <v>586176</v>
      </c>
    </row>
    <row r="20" spans="2:9" x14ac:dyDescent="0.3">
      <c r="B20" s="5" t="s">
        <v>866</v>
      </c>
      <c r="C20" s="7">
        <v>1005645</v>
      </c>
      <c r="E20" s="5" t="s">
        <v>152</v>
      </c>
      <c r="F20">
        <v>21</v>
      </c>
      <c r="H20" s="5" t="s">
        <v>698</v>
      </c>
      <c r="I20" s="7">
        <v>674634</v>
      </c>
    </row>
    <row r="21" spans="2:9" x14ac:dyDescent="0.3">
      <c r="B21" s="5" t="s">
        <v>885</v>
      </c>
      <c r="C21" s="7">
        <v>201151</v>
      </c>
      <c r="E21" s="5" t="s">
        <v>32</v>
      </c>
      <c r="F21">
        <v>18</v>
      </c>
      <c r="H21" s="5" t="s">
        <v>707</v>
      </c>
      <c r="I21" s="7">
        <v>408194</v>
      </c>
    </row>
    <row r="22" spans="2:9" x14ac:dyDescent="0.3">
      <c r="B22" s="5" t="s">
        <v>863</v>
      </c>
      <c r="C22" s="7">
        <v>212281</v>
      </c>
      <c r="E22" s="5" t="s">
        <v>324</v>
      </c>
      <c r="F22">
        <v>28</v>
      </c>
      <c r="H22" s="5" t="s">
        <v>829</v>
      </c>
      <c r="I22" s="7">
        <v>313783</v>
      </c>
    </row>
    <row r="23" spans="2:9" x14ac:dyDescent="0.3">
      <c r="B23" s="5" t="s">
        <v>794</v>
      </c>
      <c r="C23" s="7">
        <v>297372</v>
      </c>
      <c r="E23" s="5" t="s">
        <v>230</v>
      </c>
      <c r="F23">
        <v>21</v>
      </c>
      <c r="H23" s="5" t="s">
        <v>701</v>
      </c>
      <c r="I23" s="7">
        <v>574682</v>
      </c>
    </row>
    <row r="24" spans="2:9" x14ac:dyDescent="0.3">
      <c r="B24" s="5" t="s">
        <v>860</v>
      </c>
      <c r="C24" s="7">
        <v>740831</v>
      </c>
      <c r="E24" s="5" t="s">
        <v>301</v>
      </c>
      <c r="F24">
        <v>20</v>
      </c>
      <c r="H24" s="5" t="s">
        <v>794</v>
      </c>
      <c r="I24" s="7">
        <v>631585</v>
      </c>
    </row>
    <row r="25" spans="2:9" x14ac:dyDescent="0.3">
      <c r="B25" s="5" t="s">
        <v>869</v>
      </c>
      <c r="C25" s="7">
        <v>733842</v>
      </c>
      <c r="E25" s="5" t="s">
        <v>188</v>
      </c>
      <c r="F25">
        <v>24</v>
      </c>
      <c r="H25" s="5" t="s">
        <v>620</v>
      </c>
      <c r="I25" s="7">
        <v>331930</v>
      </c>
    </row>
    <row r="26" spans="2:9" x14ac:dyDescent="0.3">
      <c r="B26" s="5" t="s">
        <v>1004</v>
      </c>
      <c r="C26" s="7">
        <v>3520984</v>
      </c>
      <c r="E26" s="5" t="s">
        <v>307</v>
      </c>
      <c r="F26">
        <v>29</v>
      </c>
      <c r="H26" s="5" t="s">
        <v>1004</v>
      </c>
      <c r="I26" s="7">
        <v>3520984</v>
      </c>
    </row>
    <row r="27" spans="2:9" x14ac:dyDescent="0.3">
      <c r="E27" s="5" t="s">
        <v>158</v>
      </c>
      <c r="F27">
        <v>27</v>
      </c>
    </row>
    <row r="28" spans="2:9" x14ac:dyDescent="0.3">
      <c r="E28" s="5" t="s">
        <v>397</v>
      </c>
      <c r="F28">
        <v>19</v>
      </c>
    </row>
    <row r="29" spans="2:9" x14ac:dyDescent="0.3">
      <c r="B29" s="4" t="s">
        <v>1003</v>
      </c>
      <c r="C29" t="s">
        <v>1014</v>
      </c>
      <c r="E29" s="5" t="s">
        <v>1004</v>
      </c>
      <c r="F29">
        <v>225</v>
      </c>
    </row>
    <row r="30" spans="2:9" x14ac:dyDescent="0.3">
      <c r="B30" s="5">
        <v>0</v>
      </c>
      <c r="C30" s="7">
        <v>99400</v>
      </c>
    </row>
    <row r="31" spans="2:9" x14ac:dyDescent="0.3">
      <c r="B31" s="5">
        <v>1</v>
      </c>
      <c r="C31" s="7">
        <v>129309</v>
      </c>
      <c r="H31" s="4" t="s">
        <v>1003</v>
      </c>
      <c r="I31" t="s">
        <v>1014</v>
      </c>
    </row>
    <row r="32" spans="2:9" x14ac:dyDescent="0.3">
      <c r="B32" s="5">
        <v>2</v>
      </c>
      <c r="C32" s="7">
        <v>152940</v>
      </c>
      <c r="H32" s="5" t="s">
        <v>1008</v>
      </c>
      <c r="I32" s="7">
        <v>475447</v>
      </c>
    </row>
    <row r="33" spans="2:9" x14ac:dyDescent="0.3">
      <c r="B33" s="5">
        <v>3</v>
      </c>
      <c r="C33" s="7">
        <v>146810</v>
      </c>
      <c r="H33" s="5" t="s">
        <v>1010</v>
      </c>
      <c r="I33" s="7">
        <v>461670</v>
      </c>
    </row>
    <row r="34" spans="2:9" x14ac:dyDescent="0.3">
      <c r="B34" s="5">
        <v>4</v>
      </c>
      <c r="C34" s="7">
        <v>114700</v>
      </c>
      <c r="H34" s="5" t="s">
        <v>1006</v>
      </c>
      <c r="I34" s="7">
        <v>444960</v>
      </c>
    </row>
    <row r="35" spans="2:9" x14ac:dyDescent="0.3">
      <c r="B35" s="5">
        <v>5</v>
      </c>
      <c r="C35" s="7">
        <v>156198</v>
      </c>
      <c r="H35" s="5" t="s">
        <v>1009</v>
      </c>
      <c r="I35" s="7">
        <v>628138</v>
      </c>
    </row>
    <row r="36" spans="2:9" x14ac:dyDescent="0.3">
      <c r="B36" s="5">
        <v>6</v>
      </c>
      <c r="C36" s="7">
        <v>177211</v>
      </c>
      <c r="H36" s="5" t="s">
        <v>1012</v>
      </c>
      <c r="I36" s="7">
        <v>418354</v>
      </c>
    </row>
    <row r="37" spans="2:9" x14ac:dyDescent="0.3">
      <c r="B37" s="5">
        <v>7</v>
      </c>
      <c r="C37" s="7">
        <v>147749</v>
      </c>
      <c r="H37" s="5" t="s">
        <v>1011</v>
      </c>
      <c r="I37" s="7">
        <v>677223</v>
      </c>
    </row>
    <row r="38" spans="2:9" x14ac:dyDescent="0.3">
      <c r="B38" s="5">
        <v>8</v>
      </c>
      <c r="C38" s="7">
        <v>133617</v>
      </c>
      <c r="H38" s="5" t="s">
        <v>1007</v>
      </c>
      <c r="I38" s="7">
        <v>415192</v>
      </c>
    </row>
    <row r="39" spans="2:9" x14ac:dyDescent="0.3">
      <c r="B39" s="5">
        <v>9</v>
      </c>
      <c r="C39" s="7">
        <v>153678</v>
      </c>
      <c r="H39" s="5" t="s">
        <v>1004</v>
      </c>
      <c r="I39" s="7">
        <v>3520984</v>
      </c>
    </row>
    <row r="40" spans="2:9" x14ac:dyDescent="0.3">
      <c r="B40" s="5">
        <v>10</v>
      </c>
      <c r="C40" s="7">
        <v>94985</v>
      </c>
    </row>
    <row r="41" spans="2:9" x14ac:dyDescent="0.3">
      <c r="B41" s="5">
        <v>11</v>
      </c>
      <c r="C41" s="7">
        <v>130287</v>
      </c>
    </row>
    <row r="42" spans="2:9" x14ac:dyDescent="0.3">
      <c r="B42" s="5">
        <v>12</v>
      </c>
      <c r="C42" s="7">
        <v>162394</v>
      </c>
    </row>
    <row r="43" spans="2:9" x14ac:dyDescent="0.3">
      <c r="B43" s="5">
        <v>13</v>
      </c>
      <c r="C43" s="7">
        <v>152340</v>
      </c>
    </row>
    <row r="44" spans="2:9" x14ac:dyDescent="0.3">
      <c r="B44" s="5">
        <v>14</v>
      </c>
      <c r="C44" s="7">
        <v>126406</v>
      </c>
    </row>
    <row r="45" spans="2:9" x14ac:dyDescent="0.3">
      <c r="B45" s="5">
        <v>15</v>
      </c>
      <c r="C45" s="7">
        <v>163586</v>
      </c>
    </row>
    <row r="46" spans="2:9" x14ac:dyDescent="0.3">
      <c r="B46" s="5">
        <v>16</v>
      </c>
      <c r="C46" s="7">
        <v>128797</v>
      </c>
    </row>
    <row r="47" spans="2:9" x14ac:dyDescent="0.3">
      <c r="B47" s="5">
        <v>17</v>
      </c>
      <c r="C47" s="7">
        <v>155373</v>
      </c>
    </row>
    <row r="48" spans="2:9" x14ac:dyDescent="0.3">
      <c r="B48" s="5">
        <v>18</v>
      </c>
      <c r="C48" s="7">
        <v>173118</v>
      </c>
    </row>
    <row r="49" spans="2:3" x14ac:dyDescent="0.3">
      <c r="B49" s="5">
        <v>19</v>
      </c>
      <c r="C49" s="7">
        <v>185771</v>
      </c>
    </row>
    <row r="50" spans="2:3" x14ac:dyDescent="0.3">
      <c r="B50" s="5">
        <v>20</v>
      </c>
      <c r="C50" s="7">
        <v>186426</v>
      </c>
    </row>
    <row r="51" spans="2:3" x14ac:dyDescent="0.3">
      <c r="B51" s="5">
        <v>21</v>
      </c>
      <c r="C51" s="7">
        <v>155466</v>
      </c>
    </row>
    <row r="52" spans="2:3" x14ac:dyDescent="0.3">
      <c r="B52" s="5">
        <v>22</v>
      </c>
      <c r="C52" s="7">
        <v>125912</v>
      </c>
    </row>
    <row r="53" spans="2:3" x14ac:dyDescent="0.3">
      <c r="B53" s="5">
        <v>23</v>
      </c>
      <c r="C53" s="7">
        <v>168511</v>
      </c>
    </row>
    <row r="54" spans="2:3" x14ac:dyDescent="0.3">
      <c r="B54" s="5" t="s">
        <v>1004</v>
      </c>
      <c r="C54" s="7">
        <v>3520984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551CC-C94C-413C-999E-7D561005C838}">
  <dimension ref="A1"/>
  <sheetViews>
    <sheetView workbookViewId="0">
      <selection activeCell="O7" sqref="O7"/>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80ADBE15-D915-4716-98FF-1EFAC3FFFF5E}">
  <ds:schemaRefs/>
</ds:datastoreItem>
</file>

<file path=customXml/itemProps2.xml><?xml version="1.0" encoding="utf-8"?>
<ds:datastoreItem xmlns:ds="http://schemas.openxmlformats.org/officeDocument/2006/customXml" ds:itemID="{CBA2EE5E-18A3-453D-BB7C-67FE939DF56F}">
  <ds:schemaRefs/>
</ds:datastoreItem>
</file>

<file path=customXml/itemProps3.xml><?xml version="1.0" encoding="utf-8"?>
<ds:datastoreItem xmlns:ds="http://schemas.openxmlformats.org/officeDocument/2006/customXml" ds:itemID="{FC7787F5-E519-43E0-B934-1E66D1071F19}">
  <ds:schemaRefs/>
</ds:datastoreItem>
</file>

<file path=customXml/itemProps4.xml><?xml version="1.0" encoding="utf-8"?>
<ds:datastoreItem xmlns:ds="http://schemas.openxmlformats.org/officeDocument/2006/customXml" ds:itemID="{29F4032F-FC26-43DB-B5B7-32B0A1F37715}">
  <ds:schemaRefs/>
</ds:datastoreItem>
</file>

<file path=customXml/itemProps5.xml><?xml version="1.0" encoding="utf-8"?>
<ds:datastoreItem xmlns:ds="http://schemas.openxmlformats.org/officeDocument/2006/customXml" ds:itemID="{8E7E8706-E34A-43FD-A2D8-1B61D3742B94}">
  <ds:schemaRefs/>
</ds:datastoreItem>
</file>

<file path=customXml/itemProps6.xml><?xml version="1.0" encoding="utf-8"?>
<ds:datastoreItem xmlns:ds="http://schemas.openxmlformats.org/officeDocument/2006/customXml" ds:itemID="{F2BEDDB5-3A5B-4E6B-AE52-D312253919A9}">
  <ds:schemaRefs/>
</ds:datastoreItem>
</file>

<file path=customXml/itemProps7.xml><?xml version="1.0" encoding="utf-8"?>
<ds:datastoreItem xmlns:ds="http://schemas.openxmlformats.org/officeDocument/2006/customXml" ds:itemID="{2E329B74-28FD-458D-B8E6-5AFFEB169D84}">
  <ds:schemaRefs/>
</ds:datastoreItem>
</file>

<file path=customXml/itemProps8.xml><?xml version="1.0" encoding="utf-8"?>
<ds:datastoreItem xmlns:ds="http://schemas.openxmlformats.org/officeDocument/2006/customXml" ds:itemID="{D0430276-0F7F-4941-AA07-13BDFB4D71C1}">
  <ds:schemaRefs/>
</ds:datastoreItem>
</file>

<file path=customXml/itemProps9.xml><?xml version="1.0" encoding="utf-8"?>
<ds:datastoreItem xmlns:ds="http://schemas.openxmlformats.org/officeDocument/2006/customXml" ds:itemID="{33A3126F-A20A-4884-B1FB-2308F5FB2663}">
  <ds:schemaRefs/>
</ds:datastoreItem>
</file>

<file path=customXml/itemProps10.xml><?xml version="1.0" encoding="utf-8"?>
<ds:datastoreItem xmlns:ds="http://schemas.openxmlformats.org/officeDocument/2006/customXml" ds:itemID="{7FF4C1D3-AA8D-4098-B94A-2BB2D0FBB5C4}">
  <ds:schemaRefs/>
</ds:datastoreItem>
</file>

<file path=customXml/itemProps11.xml><?xml version="1.0" encoding="utf-8"?>
<ds:datastoreItem xmlns:ds="http://schemas.openxmlformats.org/officeDocument/2006/customXml" ds:itemID="{6C808391-2407-409B-BDED-7919DBA76FBC}">
  <ds:schemaRefs/>
</ds:datastoreItem>
</file>

<file path=customXml/itemProps12.xml><?xml version="1.0" encoding="utf-8"?>
<ds:datastoreItem xmlns:ds="http://schemas.openxmlformats.org/officeDocument/2006/customXml" ds:itemID="{717A9F98-7E82-404E-83E6-3AE47FC0BC8F}">
  <ds:schemaRefs/>
</ds:datastoreItem>
</file>

<file path=customXml/itemProps13.xml><?xml version="1.0" encoding="utf-8"?>
<ds:datastoreItem xmlns:ds="http://schemas.openxmlformats.org/officeDocument/2006/customXml" ds:itemID="{297EF935-DBE2-4A68-A192-C6B5518632D6}">
  <ds:schemaRefs/>
</ds:datastoreItem>
</file>

<file path=customXml/itemProps14.xml><?xml version="1.0" encoding="utf-8"?>
<ds:datastoreItem xmlns:ds="http://schemas.openxmlformats.org/officeDocument/2006/customXml" ds:itemID="{59D10E88-63B4-405C-8411-879B29BF72A9}">
  <ds:schemaRefs/>
</ds:datastoreItem>
</file>

<file path=customXml/itemProps15.xml><?xml version="1.0" encoding="utf-8"?>
<ds:datastoreItem xmlns:ds="http://schemas.openxmlformats.org/officeDocument/2006/customXml" ds:itemID="{F755FD3B-822F-4734-B899-57F626D12D44}">
  <ds:schemaRefs/>
</ds:datastoreItem>
</file>

<file path=customXml/itemProps16.xml><?xml version="1.0" encoding="utf-8"?>
<ds:datastoreItem xmlns:ds="http://schemas.openxmlformats.org/officeDocument/2006/customXml" ds:itemID="{B12D2BAC-0951-4424-A24B-A3756444AAC3}">
  <ds:schemaRefs/>
</ds:datastoreItem>
</file>

<file path=customXml/itemProps17.xml><?xml version="1.0" encoding="utf-8"?>
<ds:datastoreItem xmlns:ds="http://schemas.openxmlformats.org/officeDocument/2006/customXml" ds:itemID="{15413802-D486-4984-B575-1E95299A2628}">
  <ds:schemaRefs/>
</ds:datastoreItem>
</file>

<file path=customXml/itemProps18.xml><?xml version="1.0" encoding="utf-8"?>
<ds:datastoreItem xmlns:ds="http://schemas.openxmlformats.org/officeDocument/2006/customXml" ds:itemID="{41641D29-70DF-47AD-BE88-8FC747DBB35B}">
  <ds:schemaRefs/>
</ds:datastoreItem>
</file>

<file path=customXml/itemProps19.xml><?xml version="1.0" encoding="utf-8"?>
<ds:datastoreItem xmlns:ds="http://schemas.openxmlformats.org/officeDocument/2006/customXml" ds:itemID="{F6321924-1CE8-4614-A6AC-4AF2AE7EF3E1}">
  <ds:schemaRefs/>
</ds:datastoreItem>
</file>

<file path=customXml/itemProps20.xml><?xml version="1.0" encoding="utf-8"?>
<ds:datastoreItem xmlns:ds="http://schemas.openxmlformats.org/officeDocument/2006/customXml" ds:itemID="{2E74EF88-53FF-415B-8F5E-E482CD0A0DCE}">
  <ds:schemaRefs/>
</ds:datastoreItem>
</file>

<file path=customXml/itemProps21.xml><?xml version="1.0" encoding="utf-8"?>
<ds:datastoreItem xmlns:ds="http://schemas.openxmlformats.org/officeDocument/2006/customXml" ds:itemID="{18F249D0-C746-4C15-824D-D8C12258E783}">
  <ds:schemaRefs/>
</ds:datastoreItem>
</file>

<file path=customXml/itemProps22.xml><?xml version="1.0" encoding="utf-8"?>
<ds:datastoreItem xmlns:ds="http://schemas.openxmlformats.org/officeDocument/2006/customXml" ds:itemID="{80637473-91D0-42F6-B2C1-DF1873F02FB2}">
  <ds:schemaRefs/>
</ds:datastoreItem>
</file>

<file path=customXml/itemProps23.xml><?xml version="1.0" encoding="utf-8"?>
<ds:datastoreItem xmlns:ds="http://schemas.openxmlformats.org/officeDocument/2006/customXml" ds:itemID="{D155068E-E65E-4535-A397-D534566450C6}">
  <ds:schemaRefs/>
</ds:datastoreItem>
</file>

<file path=customXml/itemProps24.xml><?xml version="1.0" encoding="utf-8"?>
<ds:datastoreItem xmlns:ds="http://schemas.openxmlformats.org/officeDocument/2006/customXml" ds:itemID="{07CB63AC-ED16-49EC-BACE-19A2C460A99E}">
  <ds:schemaRefs/>
</ds:datastoreItem>
</file>

<file path=customXml/itemProps25.xml><?xml version="1.0" encoding="utf-8"?>
<ds:datastoreItem xmlns:ds="http://schemas.openxmlformats.org/officeDocument/2006/customXml" ds:itemID="{2028A729-4700-4B3C-A349-72519EFD17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2026-02-27T07:12:24Z</dcterms:created>
  <dcterms:modified xsi:type="dcterms:W3CDTF">2026-02-28T09:43:29Z</dcterms:modified>
</cp:coreProperties>
</file>